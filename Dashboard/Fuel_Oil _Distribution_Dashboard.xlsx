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tables/table6.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xml"/>
  <Override PartName="/xl/pivotTables/pivotTable2.xml" ContentType="application/vnd.openxmlformats-officedocument.spreadsheetml.pivotTable+xml"/>
  <Override PartName="/xl/drawings/drawing9.xml" ContentType="application/vnd.openxmlformats-officedocument.drawing+xml"/>
  <Override PartName="/xl/tables/table9.xml" ContentType="application/vnd.openxmlformats-officedocument.spreadsheetml.table+xml"/>
  <Override PartName="/xl/slicers/slicer3.xml" ContentType="application/vnd.ms-excel.slicer+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E:\MY KULIAH\SEMESTER 2\EKSPLORASI dan VISUALISASI DATA\"/>
    </mc:Choice>
  </mc:AlternateContent>
  <xr:revisionPtr revIDLastSave="0" documentId="13_ncr:1_{3E4D80D8-B992-4527-9A51-9F0525956BEB}" xr6:coauthVersionLast="47" xr6:coauthVersionMax="47" xr10:uidLastSave="{00000000-0000-0000-0000-000000000000}"/>
  <bookViews>
    <workbookView xWindow="-110" yWindow="-110" windowWidth="19420" windowHeight="10300" activeTab="1" xr2:uid="{B31F3AAD-CD2C-438C-B8CB-45A034F8DD1E}"/>
  </bookViews>
  <sheets>
    <sheet name="DATA" sheetId="2" r:id="rId1"/>
    <sheet name="DASHBOARD" sheetId="15" r:id="rId2"/>
    <sheet name="Ringkasan Numerik" sheetId="3" r:id="rId3"/>
    <sheet name="STANDARISASI" sheetId="8" r:id="rId4"/>
    <sheet name="COMPARE" sheetId="10" r:id="rId5"/>
    <sheet name="INPUT " sheetId="13" r:id="rId6"/>
    <sheet name="pie" sheetId="19" r:id="rId7"/>
    <sheet name="Sheet2" sheetId="11" r:id="rId8"/>
    <sheet name="Sheet1" sheetId="7" r:id="rId9"/>
  </sheets>
  <definedNames>
    <definedName name="_xlchart.v1.0" hidden="1">'Ringkasan Numerik'!$B$3</definedName>
    <definedName name="_xlchart.v1.1" hidden="1">'Ringkasan Numerik'!$B$4:$B$13</definedName>
    <definedName name="_xlchart.v1.10" hidden="1">STANDARISASI!$L$2</definedName>
    <definedName name="_xlchart.v1.11" hidden="1">STANDARISASI!$L$3:$L$12</definedName>
    <definedName name="_xlchart.v1.12" hidden="1">STANDARISASI!$M$2</definedName>
    <definedName name="_xlchart.v1.13" hidden="1">STANDARISASI!$M$3:$M$12</definedName>
    <definedName name="_xlchart.v1.14" hidden="1">STANDARISASI!$N$2</definedName>
    <definedName name="_xlchart.v1.15" hidden="1">STANDARISASI!$N$3:$N$12</definedName>
    <definedName name="_xlchart.v1.16" hidden="1">STANDARISASI!$K$2</definedName>
    <definedName name="_xlchart.v1.17" hidden="1">STANDARISASI!$K$3:$K$12</definedName>
    <definedName name="_xlchart.v1.18" hidden="1">STANDARISASI!$L$2</definedName>
    <definedName name="_xlchart.v1.19" hidden="1">STANDARISASI!$L$3:$L$12</definedName>
    <definedName name="_xlchart.v1.2" hidden="1">'Ringkasan Numerik'!$C$3</definedName>
    <definedName name="_xlchart.v1.20" hidden="1">STANDARISASI!$M$2</definedName>
    <definedName name="_xlchart.v1.21" hidden="1">STANDARISASI!$M$3:$M$12</definedName>
    <definedName name="_xlchart.v1.22" hidden="1">STANDARISASI!$N$2</definedName>
    <definedName name="_xlchart.v1.23" hidden="1">STANDARISASI!$N$3:$N$12</definedName>
    <definedName name="_xlchart.v1.24" hidden="1">'Ringkasan Numerik'!$B$3</definedName>
    <definedName name="_xlchart.v1.25" hidden="1">'Ringkasan Numerik'!$B$4:$B$13</definedName>
    <definedName name="_xlchart.v1.26" hidden="1">'Ringkasan Numerik'!$C$3</definedName>
    <definedName name="_xlchart.v1.27" hidden="1">'Ringkasan Numerik'!$C$4:$C$13</definedName>
    <definedName name="_xlchart.v1.28" hidden="1">'Ringkasan Numerik'!$D$3</definedName>
    <definedName name="_xlchart.v1.29" hidden="1">'Ringkasan Numerik'!$D$4:$D$13</definedName>
    <definedName name="_xlchart.v1.3" hidden="1">'Ringkasan Numerik'!$C$4:$C$13</definedName>
    <definedName name="_xlchart.v1.30" hidden="1">'Ringkasan Numerik'!$E$3</definedName>
    <definedName name="_xlchart.v1.31" hidden="1">'Ringkasan Numerik'!$E$4:$E$13</definedName>
    <definedName name="_xlchart.v1.4" hidden="1">'Ringkasan Numerik'!$D$3</definedName>
    <definedName name="_xlchart.v1.5" hidden="1">'Ringkasan Numerik'!$D$4:$D$13</definedName>
    <definedName name="_xlchart.v1.6" hidden="1">'Ringkasan Numerik'!$E$3</definedName>
    <definedName name="_xlchart.v1.7" hidden="1">'Ringkasan Numerik'!$E$4:$E$13</definedName>
    <definedName name="_xlchart.v1.8" hidden="1">STANDARISASI!$K$2</definedName>
    <definedName name="_xlchart.v1.9" hidden="1">STANDARISASI!$K$3:$K$12</definedName>
    <definedName name="Slicer_Kabupaten">#N/A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 i="3" l="1"/>
  <c r="J7" i="3"/>
  <c r="K7" i="3"/>
  <c r="L7" i="3"/>
  <c r="I8" i="3"/>
  <c r="J8" i="3"/>
  <c r="K8" i="3"/>
  <c r="L8" i="3"/>
  <c r="I9" i="3"/>
  <c r="J9" i="3"/>
  <c r="K9" i="3"/>
  <c r="L9" i="3"/>
  <c r="I10" i="3"/>
  <c r="J10" i="3"/>
  <c r="K10" i="3"/>
  <c r="L10" i="3"/>
  <c r="I11" i="3"/>
  <c r="J11" i="3"/>
  <c r="K11" i="3"/>
  <c r="L11" i="3"/>
  <c r="F4" i="3"/>
  <c r="F5" i="3"/>
  <c r="F6" i="3"/>
  <c r="F7" i="3"/>
  <c r="F8" i="3"/>
  <c r="F9" i="3"/>
  <c r="F10" i="3"/>
  <c r="F11" i="3"/>
  <c r="F12" i="3"/>
  <c r="F13" i="3"/>
  <c r="B13" i="2"/>
  <c r="E13" i="2"/>
  <c r="D13" i="2"/>
  <c r="C13" i="2"/>
  <c r="E22" i="8"/>
  <c r="D22" i="8"/>
  <c r="C22" i="8"/>
  <c r="B22" i="8"/>
  <c r="E17" i="8"/>
  <c r="D17" i="8"/>
  <c r="C17" i="8"/>
  <c r="B17" i="8"/>
  <c r="F12" i="8"/>
  <c r="F11" i="8"/>
  <c r="F10" i="8"/>
  <c r="F9" i="8"/>
  <c r="F8" i="8"/>
  <c r="F7" i="8"/>
  <c r="F6" i="8"/>
  <c r="F5" i="8"/>
  <c r="F4" i="8"/>
  <c r="F3" i="8"/>
  <c r="K20" i="3"/>
  <c r="I20" i="3"/>
  <c r="J20" i="3"/>
  <c r="L20" i="3"/>
  <c r="I21" i="3"/>
  <c r="J21" i="3"/>
  <c r="K21" i="3"/>
  <c r="L21" i="3"/>
  <c r="I16" i="3"/>
  <c r="J18" i="3"/>
  <c r="K18" i="3"/>
  <c r="L18" i="3"/>
  <c r="J17" i="3"/>
  <c r="K17" i="3"/>
  <c r="L17" i="3"/>
  <c r="J16" i="3"/>
  <c r="K16" i="3"/>
  <c r="L16" i="3"/>
  <c r="I18" i="3"/>
  <c r="I17" i="3"/>
  <c r="F3" i="2"/>
  <c r="F4" i="2"/>
  <c r="F5" i="2"/>
  <c r="F6" i="2"/>
  <c r="F7" i="2"/>
  <c r="F8" i="2"/>
  <c r="F9" i="2"/>
  <c r="F10" i="2"/>
  <c r="F11" i="2"/>
  <c r="F12" i="2"/>
  <c r="F13" i="2" l="1"/>
  <c r="M8" i="8"/>
  <c r="L7" i="8"/>
  <c r="M7" i="8"/>
  <c r="K5" i="8"/>
  <c r="N3" i="8"/>
  <c r="M9" i="8"/>
  <c r="N10" i="8"/>
  <c r="N9" i="8"/>
  <c r="K4" i="8"/>
  <c r="L6" i="8"/>
  <c r="K11" i="8"/>
  <c r="L5" i="8"/>
  <c r="L11" i="8"/>
  <c r="M5" i="8"/>
  <c r="N7" i="8"/>
  <c r="K8" i="8"/>
  <c r="L10" i="8"/>
  <c r="M12" i="8"/>
  <c r="M4" i="8"/>
  <c r="N6" i="8"/>
  <c r="K7" i="8"/>
  <c r="L9" i="8"/>
  <c r="M11" i="8"/>
  <c r="M3" i="8"/>
  <c r="N5" i="8"/>
  <c r="K12" i="8"/>
  <c r="K3" i="8"/>
  <c r="K10" i="8"/>
  <c r="L12" i="8"/>
  <c r="L4" i="8"/>
  <c r="M6" i="8"/>
  <c r="N8" i="8"/>
  <c r="K9" i="8"/>
  <c r="L3" i="8"/>
  <c r="K6" i="8"/>
  <c r="L8" i="8"/>
  <c r="M10" i="8"/>
  <c r="N12" i="8"/>
  <c r="N4" i="8"/>
  <c r="N11" i="8"/>
  <c r="J19" i="3"/>
  <c r="L19" i="3"/>
  <c r="K19" i="3"/>
  <c r="K32" i="8" l="1"/>
  <c r="K29" i="8"/>
  <c r="K21" i="8"/>
  <c r="K20" i="8"/>
  <c r="K19" i="8"/>
  <c r="K28" i="8"/>
  <c r="K33" i="8"/>
  <c r="K30" i="8" s="1"/>
  <c r="K23" i="8"/>
  <c r="K22" i="8"/>
  <c r="L23" i="8"/>
  <c r="L33" i="8"/>
  <c r="L29" i="8"/>
  <c r="L32" i="8"/>
  <c r="L28" i="8"/>
  <c r="L22" i="8"/>
  <c r="L20" i="8"/>
  <c r="L19" i="8"/>
  <c r="L21" i="8"/>
  <c r="M20" i="8"/>
  <c r="M22" i="8"/>
  <c r="M23" i="8"/>
  <c r="M19" i="8"/>
  <c r="M33" i="8"/>
  <c r="M29" i="8"/>
  <c r="M32" i="8"/>
  <c r="M28" i="8"/>
  <c r="M21" i="8"/>
  <c r="N19" i="8"/>
  <c r="N21" i="8"/>
  <c r="N33" i="8"/>
  <c r="N20" i="8"/>
  <c r="N32" i="8"/>
  <c r="N30" i="8" s="1"/>
  <c r="N29" i="8"/>
  <c r="N28" i="8"/>
  <c r="N22" i="8"/>
  <c r="N23" i="8"/>
  <c r="I19" i="3"/>
  <c r="M31" i="8" l="1"/>
  <c r="K31" i="8"/>
  <c r="M30" i="8"/>
  <c r="L30" i="8"/>
  <c r="L31" i="8"/>
  <c r="N31" i="8"/>
</calcChain>
</file>

<file path=xl/sharedStrings.xml><?xml version="1.0" encoding="utf-8"?>
<sst xmlns="http://schemas.openxmlformats.org/spreadsheetml/2006/main" count="274" uniqueCount="67">
  <si>
    <t>Jenis Bahan Bakar</t>
  </si>
  <si>
    <t>Premium</t>
  </si>
  <si>
    <t>Bisolar</t>
  </si>
  <si>
    <t>Minyak Tanah</t>
  </si>
  <si>
    <t>LPG</t>
  </si>
  <si>
    <t>Nias</t>
  </si>
  <si>
    <t>Mandailing Natal</t>
  </si>
  <si>
    <t>Tapanuli Selatan</t>
  </si>
  <si>
    <t>Tapanuli Tengah</t>
  </si>
  <si>
    <t>Toba</t>
  </si>
  <si>
    <t>Labuhanbatu</t>
  </si>
  <si>
    <t>Asahan</t>
  </si>
  <si>
    <t>Simalungun</t>
  </si>
  <si>
    <t>Dairi</t>
  </si>
  <si>
    <t>Total</t>
  </si>
  <si>
    <t>RINGKASAN NUMERIK</t>
  </si>
  <si>
    <t>Mean</t>
  </si>
  <si>
    <t xml:space="preserve">Ukuran Pusat </t>
  </si>
  <si>
    <t>Median</t>
  </si>
  <si>
    <t>Modus</t>
  </si>
  <si>
    <t>Q1</t>
  </si>
  <si>
    <t>Q3</t>
  </si>
  <si>
    <t>Ukuran Sebaran</t>
  </si>
  <si>
    <t>Variansi</t>
  </si>
  <si>
    <t>Range</t>
  </si>
  <si>
    <t>Standar Deviasi</t>
  </si>
  <si>
    <t>Sebaran Tengah (dq)</t>
  </si>
  <si>
    <t>Data Urut</t>
  </si>
  <si>
    <t>Minimum</t>
  </si>
  <si>
    <t>Maximum</t>
  </si>
  <si>
    <t>Kabupaten</t>
  </si>
  <si>
    <t xml:space="preserve"> Tapanuli Utara</t>
  </si>
  <si>
    <t>(STATISTIKA DESKRIPTIF)</t>
  </si>
  <si>
    <t>Med</t>
  </si>
  <si>
    <t>XA</t>
  </si>
  <si>
    <t>XB</t>
  </si>
  <si>
    <t>RINGKASAN 5 ANGKA</t>
  </si>
  <si>
    <t>Grand Total</t>
  </si>
  <si>
    <t>Row Labels</t>
  </si>
  <si>
    <t>Sum of Minyak Tanah</t>
  </si>
  <si>
    <t>Sum of Premium</t>
  </si>
  <si>
    <t>Sum of LPG</t>
  </si>
  <si>
    <t>DATA STANDARISASI</t>
  </si>
  <si>
    <t>Q1'</t>
  </si>
  <si>
    <t>Q3'</t>
  </si>
  <si>
    <t>XB'</t>
  </si>
  <si>
    <t>XA'</t>
  </si>
  <si>
    <t>DIAGRAM BOXPLOT SEBELUM DI STANDARISASI</t>
  </si>
  <si>
    <t>DIAGRAM BOXPLOT SETELAH DISTANDARISASI</t>
  </si>
  <si>
    <t>KESIMPULAN :</t>
  </si>
  <si>
    <t xml:space="preserve">Sebelum data distandarisasi terdapat perbedaan skala yang besar antar angkatan. Terlihat pada boxplot tersebut bahwa </t>
  </si>
  <si>
    <t xml:space="preserve">Sedangkan data yang telah distandarisasi menjadi lebih simetris, dimana pusat yang digunakan (median) menjadi sama atau bernilai 0 dan </t>
  </si>
  <si>
    <t>sebaran yang digunakan (range) menjadi sama juga, bernilai 1.</t>
  </si>
  <si>
    <t>distribusi data sangat acak dikarenakan selisih median dengan kuartil bawah maupun atas  tidak similar atau jauh berbeda.</t>
  </si>
  <si>
    <t>Jumlah Penyaluran Bahan Bakar Minyak Menurut Jenis dan Kabupaten (Kiloliter) di Provinsi Sumatera Utara Tahun 2022</t>
  </si>
  <si>
    <t>Jenis bahan bakar</t>
  </si>
  <si>
    <t xml:space="preserve">Premium </t>
  </si>
  <si>
    <t>Minyak tanah</t>
  </si>
  <si>
    <t>Tapanuli Utara</t>
  </si>
  <si>
    <t>Jumlah Penyebaran</t>
  </si>
  <si>
    <t>Values</t>
  </si>
  <si>
    <t>Biosolar</t>
  </si>
  <si>
    <t>Sum of Biosolar</t>
  </si>
  <si>
    <t xml:space="preserve">              RINGKASAN 5 ANGKA</t>
  </si>
  <si>
    <t xml:space="preserve">         Minyak Tanah</t>
  </si>
  <si>
    <r>
      <t xml:space="preserve">  </t>
    </r>
    <r>
      <rPr>
        <b/>
        <sz val="11"/>
        <color theme="0"/>
        <rFont val="Calibri"/>
        <family val="2"/>
        <scheme val="minor"/>
      </rPr>
      <t xml:space="preserve">   LPG</t>
    </r>
  </si>
  <si>
    <t>Jumlah Penyaluran Bahan Bakar Minyak Menurut Jenis dan Kabupaten (Kiloliter) di Provinsi Sumatera Utara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</si>
</sst>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Times New Roman"/>
      <family val="1"/>
    </font>
    <font>
      <sz val="12"/>
      <color rgb="FF000000"/>
      <name val="Times New Roman"/>
      <family val="1"/>
    </font>
    <font>
      <b/>
      <sz val="12"/>
      <color theme="1"/>
      <name val="Times New Roman"/>
      <family val="1"/>
    </font>
    <font>
      <b/>
      <sz val="14"/>
      <color theme="1"/>
      <name val="Times New Roman"/>
      <family val="1"/>
    </font>
    <font>
      <sz val="12"/>
      <name val="Times New Roman"/>
      <family val="1"/>
    </font>
    <font>
      <b/>
      <sz val="11"/>
      <color theme="1"/>
      <name val="Times New Roman"/>
      <family val="1"/>
    </font>
    <font>
      <b/>
      <sz val="12"/>
      <color theme="0"/>
      <name val="Times New Roman"/>
      <family val="1"/>
    </font>
    <font>
      <b/>
      <sz val="11"/>
      <color theme="0"/>
      <name val="Calibri"/>
      <family val="2"/>
      <scheme val="minor"/>
    </font>
    <font>
      <sz val="11"/>
      <color theme="0"/>
      <name val="Calibri"/>
      <family val="2"/>
      <scheme val="minor"/>
    </font>
    <font>
      <sz val="12"/>
      <color theme="0"/>
      <name val="Times New Roman"/>
      <family val="1"/>
    </font>
    <font>
      <b/>
      <sz val="11"/>
      <name val="Calibri"/>
      <family val="2"/>
      <scheme val="minor"/>
    </font>
    <font>
      <sz val="8"/>
      <name val="Calibri"/>
      <family val="2"/>
      <scheme val="minor"/>
    </font>
    <font>
      <b/>
      <sz val="10"/>
      <color theme="1"/>
      <name val="Times New Roman"/>
      <family val="1"/>
    </font>
    <font>
      <sz val="11"/>
      <color theme="1"/>
      <name val="Times New Roman"/>
      <family val="1"/>
    </font>
    <font>
      <sz val="11"/>
      <color theme="1"/>
      <name val="Berlin Sans FB"/>
      <family val="2"/>
    </font>
  </fonts>
  <fills count="8">
    <fill>
      <patternFill patternType="none"/>
    </fill>
    <fill>
      <patternFill patternType="gray125"/>
    </fill>
    <fill>
      <patternFill patternType="solid">
        <fgColor rgb="FFFFFFCC"/>
      </patternFill>
    </fill>
    <fill>
      <patternFill patternType="solid">
        <fgColor rgb="FFCF8E55"/>
        <bgColor indexed="64"/>
      </patternFill>
    </fill>
    <fill>
      <patternFill patternType="solid">
        <fgColor rgb="FFBFAEA4"/>
        <bgColor indexed="64"/>
      </patternFill>
    </fill>
    <fill>
      <patternFill patternType="solid">
        <fgColor rgb="FFE1DCC9"/>
        <bgColor theme="7" tint="0.79998168889431442"/>
      </patternFill>
    </fill>
    <fill>
      <patternFill patternType="solid">
        <fgColor rgb="FF854621"/>
        <bgColor indexed="64"/>
      </patternFill>
    </fill>
    <fill>
      <patternFill patternType="solid">
        <fgColor rgb="FFE1DCC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7" tint="0.39997558519241921"/>
      </left>
      <right/>
      <top style="thin">
        <color theme="7" tint="0.39997558519241921"/>
      </top>
      <bottom style="thin">
        <color theme="7" tint="0.39997558519241921"/>
      </bottom>
      <diagonal/>
    </border>
    <border>
      <left/>
      <right/>
      <top style="thin">
        <color theme="7" tint="0.39997558519241921"/>
      </top>
      <bottom style="thin">
        <color theme="7" tint="0.39997558519241921"/>
      </bottom>
      <diagonal/>
    </border>
    <border>
      <left/>
      <right/>
      <top style="thin">
        <color theme="7" tint="0.39997558519241921"/>
      </top>
      <bottom/>
      <diagonal/>
    </border>
    <border>
      <left/>
      <right style="thin">
        <color indexed="64"/>
      </right>
      <top/>
      <bottom/>
      <diagonal/>
    </border>
    <border>
      <left/>
      <right/>
      <top/>
      <bottom style="thin">
        <color indexed="64"/>
      </bottom>
      <diagonal/>
    </border>
  </borders>
  <cellStyleXfs count="2">
    <xf numFmtId="0" fontId="0" fillId="0" borderId="0"/>
    <xf numFmtId="0" fontId="1" fillId="2" borderId="1" applyNumberFormat="0" applyFont="0" applyAlignment="0" applyProtection="0"/>
  </cellStyleXfs>
  <cellXfs count="89">
    <xf numFmtId="0" fontId="0" fillId="0" borderId="0" xfId="0"/>
    <xf numFmtId="3" fontId="3" fillId="0" borderId="0" xfId="0" applyNumberFormat="1" applyFont="1" applyAlignment="1">
      <alignment horizontal="center"/>
    </xf>
    <xf numFmtId="0" fontId="3" fillId="0" borderId="0" xfId="0" applyFont="1"/>
    <xf numFmtId="0" fontId="4" fillId="0" borderId="0" xfId="0" applyFont="1" applyAlignment="1">
      <alignment horizontal="right" vertical="center" wrapText="1" indent="2"/>
    </xf>
    <xf numFmtId="4" fontId="4" fillId="0" borderId="0" xfId="0" applyNumberFormat="1" applyFont="1" applyAlignment="1">
      <alignment horizontal="right" vertical="center" wrapText="1" indent="2"/>
    </xf>
    <xf numFmtId="0" fontId="0" fillId="0" borderId="0" xfId="0" applyAlignment="1">
      <alignment horizontal="center"/>
    </xf>
    <xf numFmtId="0" fontId="0" fillId="0" borderId="0" xfId="0" applyAlignment="1">
      <alignment horizontal="left"/>
    </xf>
    <xf numFmtId="0" fontId="4" fillId="0" borderId="0" xfId="0" applyFont="1" applyAlignment="1">
      <alignment vertical="center"/>
    </xf>
    <xf numFmtId="0" fontId="3" fillId="0" borderId="0" xfId="0" applyFont="1" applyAlignment="1">
      <alignment horizontal="right" vertical="center" indent="2"/>
    </xf>
    <xf numFmtId="0" fontId="5" fillId="0" borderId="0" xfId="0" applyFont="1"/>
    <xf numFmtId="0" fontId="0" fillId="0" borderId="2" xfId="0" applyBorder="1" applyAlignment="1">
      <alignment horizontal="center"/>
    </xf>
    <xf numFmtId="3" fontId="0" fillId="0" borderId="2" xfId="0" applyNumberFormat="1" applyBorder="1" applyAlignment="1">
      <alignment horizontal="center"/>
    </xf>
    <xf numFmtId="0" fontId="0" fillId="0" borderId="0" xfId="0" pivotButton="1"/>
    <xf numFmtId="3" fontId="3" fillId="0" borderId="0" xfId="0" applyNumberFormat="1" applyFont="1"/>
    <xf numFmtId="4" fontId="3" fillId="0" borderId="0" xfId="0" applyNumberFormat="1" applyFont="1" applyAlignment="1">
      <alignment horizontal="right" vertical="center" indent="2"/>
    </xf>
    <xf numFmtId="4" fontId="0" fillId="0" borderId="2" xfId="0" applyNumberFormat="1" applyBorder="1" applyAlignment="1">
      <alignment horizontal="center"/>
    </xf>
    <xf numFmtId="2" fontId="0" fillId="0" borderId="2" xfId="0" applyNumberFormat="1" applyBorder="1" applyAlignment="1">
      <alignment horizontal="center"/>
    </xf>
    <xf numFmtId="4" fontId="0" fillId="0" borderId="0" xfId="0" applyNumberFormat="1" applyAlignment="1">
      <alignment horizontal="center"/>
    </xf>
    <xf numFmtId="3" fontId="4" fillId="0" borderId="0" xfId="0" applyNumberFormat="1" applyFont="1" applyAlignment="1">
      <alignment horizontal="right" vertical="center" wrapText="1" indent="2"/>
    </xf>
    <xf numFmtId="3" fontId="3" fillId="0" borderId="0" xfId="0" applyNumberFormat="1" applyFont="1" applyAlignment="1">
      <alignment horizontal="right" vertical="center" indent="2"/>
    </xf>
    <xf numFmtId="0" fontId="4" fillId="0" borderId="5" xfId="0" applyFont="1" applyBorder="1" applyAlignment="1">
      <alignment vertical="center"/>
    </xf>
    <xf numFmtId="0" fontId="0" fillId="3" borderId="0" xfId="0" applyFill="1"/>
    <xf numFmtId="3" fontId="3" fillId="0" borderId="0" xfId="0" applyNumberFormat="1" applyFont="1" applyAlignment="1">
      <alignment horizontal="center" vertical="center"/>
    </xf>
    <xf numFmtId="3" fontId="0" fillId="0" borderId="0" xfId="0" applyNumberFormat="1"/>
    <xf numFmtId="3" fontId="4" fillId="0" borderId="0" xfId="0" applyNumberFormat="1" applyFont="1" applyAlignment="1">
      <alignment horizontal="center" vertical="center" wrapText="1"/>
    </xf>
    <xf numFmtId="0" fontId="0" fillId="4" borderId="0" xfId="0" applyFill="1"/>
    <xf numFmtId="0" fontId="4" fillId="0" borderId="6" xfId="0" applyFont="1" applyBorder="1" applyAlignment="1">
      <alignment horizontal="right" vertical="center" wrapText="1" indent="2"/>
    </xf>
    <xf numFmtId="0" fontId="3" fillId="0" borderId="6" xfId="0" applyFont="1" applyBorder="1" applyAlignment="1">
      <alignment horizontal="right" vertical="center" indent="2"/>
    </xf>
    <xf numFmtId="0" fontId="0" fillId="3" borderId="0" xfId="0" applyFill="1" applyAlignment="1">
      <alignment vertical="top"/>
    </xf>
    <xf numFmtId="0" fontId="4" fillId="5" borderId="5" xfId="0" applyFont="1" applyFill="1" applyBorder="1" applyAlignment="1">
      <alignment vertical="center"/>
    </xf>
    <xf numFmtId="0" fontId="4" fillId="5" borderId="6" xfId="0" applyFont="1" applyFill="1" applyBorder="1" applyAlignment="1">
      <alignment horizontal="right" vertical="center" wrapText="1" indent="2"/>
    </xf>
    <xf numFmtId="0" fontId="3" fillId="5" borderId="6" xfId="0" applyFont="1" applyFill="1" applyBorder="1" applyAlignment="1">
      <alignment horizontal="right" vertical="center" indent="2"/>
    </xf>
    <xf numFmtId="0" fontId="9" fillId="6" borderId="5" xfId="0" applyFont="1" applyFill="1" applyBorder="1" applyAlignment="1">
      <alignment horizontal="center"/>
    </xf>
    <xf numFmtId="0" fontId="9" fillId="6" borderId="6" xfId="0" applyFont="1" applyFill="1" applyBorder="1" applyAlignment="1">
      <alignment horizontal="center"/>
    </xf>
    <xf numFmtId="3" fontId="0" fillId="0" borderId="0" xfId="0" applyNumberFormat="1" applyAlignment="1">
      <alignment horizontal="center"/>
    </xf>
    <xf numFmtId="0" fontId="3" fillId="6" borderId="0" xfId="0" applyFont="1" applyFill="1" applyAlignment="1">
      <alignment horizontal="center"/>
    </xf>
    <xf numFmtId="0" fontId="4" fillId="7" borderId="0" xfId="0" applyFont="1" applyFill="1" applyAlignment="1">
      <alignment vertical="center"/>
    </xf>
    <xf numFmtId="0" fontId="4" fillId="7" borderId="0" xfId="0" applyFont="1" applyFill="1" applyAlignment="1">
      <alignment horizontal="right" vertical="center" wrapText="1" indent="2"/>
    </xf>
    <xf numFmtId="0" fontId="3" fillId="7" borderId="0" xfId="0" applyFont="1" applyFill="1" applyAlignment="1">
      <alignment horizontal="right" vertical="center" indent="2"/>
    </xf>
    <xf numFmtId="3" fontId="3" fillId="7" borderId="0" xfId="0" applyNumberFormat="1" applyFont="1" applyFill="1" applyAlignment="1">
      <alignment horizontal="center"/>
    </xf>
    <xf numFmtId="0" fontId="9" fillId="6" borderId="0" xfId="0" applyFont="1" applyFill="1" applyAlignment="1">
      <alignment horizontal="center"/>
    </xf>
    <xf numFmtId="3" fontId="4" fillId="7" borderId="0" xfId="0" applyNumberFormat="1" applyFont="1" applyFill="1" applyAlignment="1">
      <alignment horizontal="right" vertical="center" wrapText="1" indent="2"/>
    </xf>
    <xf numFmtId="3" fontId="3" fillId="7" borderId="0" xfId="0" applyNumberFormat="1" applyFont="1" applyFill="1" applyAlignment="1">
      <alignment horizontal="right" vertical="center" indent="2"/>
    </xf>
    <xf numFmtId="0" fontId="3" fillId="7" borderId="2" xfId="1" applyFont="1" applyFill="1" applyBorder="1"/>
    <xf numFmtId="3" fontId="3" fillId="7" borderId="2" xfId="1" applyNumberFormat="1" applyFont="1" applyFill="1" applyBorder="1" applyAlignment="1">
      <alignment horizontal="center"/>
    </xf>
    <xf numFmtId="164" fontId="3" fillId="7" borderId="2" xfId="1" applyNumberFormat="1" applyFont="1" applyFill="1" applyBorder="1" applyAlignment="1">
      <alignment horizontal="center"/>
    </xf>
    <xf numFmtId="0" fontId="12" fillId="6" borderId="2" xfId="1" applyFont="1" applyFill="1" applyBorder="1" applyAlignment="1">
      <alignment horizontal="center"/>
    </xf>
    <xf numFmtId="0" fontId="7" fillId="7" borderId="2" xfId="1" applyFont="1" applyFill="1" applyBorder="1"/>
    <xf numFmtId="3" fontId="7" fillId="7" borderId="2" xfId="1" applyNumberFormat="1" applyFont="1" applyFill="1" applyBorder="1" applyAlignment="1">
      <alignment horizontal="center"/>
    </xf>
    <xf numFmtId="3" fontId="7" fillId="7" borderId="2" xfId="0" applyNumberFormat="1" applyFont="1" applyFill="1" applyBorder="1" applyAlignment="1">
      <alignment horizontal="center"/>
    </xf>
    <xf numFmtId="0" fontId="0" fillId="7" borderId="2" xfId="0" applyFill="1" applyBorder="1" applyAlignment="1">
      <alignment horizontal="center"/>
    </xf>
    <xf numFmtId="0" fontId="10" fillId="6" borderId="0" xfId="0" applyFont="1" applyFill="1"/>
    <xf numFmtId="0" fontId="11" fillId="6" borderId="0" xfId="0" applyFont="1" applyFill="1"/>
    <xf numFmtId="4" fontId="4" fillId="7" borderId="0" xfId="0" applyNumberFormat="1" applyFont="1" applyFill="1" applyAlignment="1">
      <alignment horizontal="right" vertical="center" wrapText="1" indent="2"/>
    </xf>
    <xf numFmtId="4" fontId="3" fillId="7" borderId="0" xfId="0" applyNumberFormat="1" applyFont="1" applyFill="1" applyAlignment="1">
      <alignment horizontal="right" vertical="center" indent="2"/>
    </xf>
    <xf numFmtId="3" fontId="12" fillId="6" borderId="2" xfId="1" applyNumberFormat="1" applyFont="1" applyFill="1" applyBorder="1" applyAlignment="1">
      <alignment horizontal="center"/>
    </xf>
    <xf numFmtId="4" fontId="3" fillId="7" borderId="2" xfId="1" applyNumberFormat="1" applyFont="1" applyFill="1" applyBorder="1" applyAlignment="1">
      <alignment horizontal="center"/>
    </xf>
    <xf numFmtId="4" fontId="7" fillId="7" borderId="2" xfId="1" applyNumberFormat="1" applyFont="1" applyFill="1" applyBorder="1" applyAlignment="1">
      <alignment horizontal="center"/>
    </xf>
    <xf numFmtId="4" fontId="7" fillId="7" borderId="2" xfId="0" applyNumberFormat="1" applyFont="1" applyFill="1" applyBorder="1" applyAlignment="1">
      <alignment horizontal="center"/>
    </xf>
    <xf numFmtId="0" fontId="8" fillId="0" borderId="0" xfId="0" applyFont="1"/>
    <xf numFmtId="0" fontId="15" fillId="0" borderId="0" xfId="0" applyFont="1"/>
    <xf numFmtId="0" fontId="16" fillId="0" borderId="0" xfId="0" applyFont="1"/>
    <xf numFmtId="0" fontId="17" fillId="0" borderId="0" xfId="0" applyFont="1" applyAlignment="1">
      <alignment horizontal="left"/>
    </xf>
    <xf numFmtId="0" fontId="9" fillId="3" borderId="7" xfId="0" applyFont="1" applyFill="1" applyBorder="1" applyAlignment="1">
      <alignment horizontal="center"/>
    </xf>
    <xf numFmtId="0" fontId="9" fillId="3" borderId="0" xfId="0" applyFont="1" applyFill="1" applyAlignment="1">
      <alignment horizontal="center"/>
    </xf>
    <xf numFmtId="0" fontId="8" fillId="0" borderId="0" xfId="0" applyFont="1" applyAlignment="1">
      <alignment horizontal="center"/>
    </xf>
    <xf numFmtId="0" fontId="3" fillId="0" borderId="0" xfId="0" applyFont="1" applyAlignment="1">
      <alignment horizontal="center"/>
    </xf>
    <xf numFmtId="0" fontId="6" fillId="0" borderId="0" xfId="0" applyFont="1" applyAlignment="1">
      <alignment horizontal="left"/>
    </xf>
    <xf numFmtId="0" fontId="3" fillId="0" borderId="0" xfId="0" applyFont="1" applyAlignment="1">
      <alignment horizontal="left"/>
    </xf>
    <xf numFmtId="0" fontId="9" fillId="6" borderId="2" xfId="1" applyFont="1" applyFill="1" applyBorder="1" applyAlignment="1">
      <alignment horizontal="center" vertical="top"/>
    </xf>
    <xf numFmtId="0" fontId="9" fillId="6" borderId="2" xfId="1" applyFont="1" applyFill="1" applyBorder="1" applyAlignment="1">
      <alignment horizontal="center"/>
    </xf>
    <xf numFmtId="3" fontId="0" fillId="0" borderId="3" xfId="0" applyNumberFormat="1" applyBorder="1" applyAlignment="1">
      <alignment horizontal="center"/>
    </xf>
    <xf numFmtId="0" fontId="0" fillId="0" borderId="4" xfId="0" applyBorder="1" applyAlignment="1">
      <alignment horizontal="center"/>
    </xf>
    <xf numFmtId="0" fontId="12" fillId="6" borderId="2" xfId="1" applyFont="1" applyFill="1" applyBorder="1" applyAlignment="1">
      <alignment horizontal="center" vertical="top"/>
    </xf>
    <xf numFmtId="0" fontId="5" fillId="0" borderId="0" xfId="0" applyFont="1" applyAlignment="1">
      <alignment horizontal="center"/>
    </xf>
    <xf numFmtId="0" fontId="0" fillId="7" borderId="2" xfId="0" applyFill="1" applyBorder="1" applyAlignment="1">
      <alignment horizontal="center"/>
    </xf>
    <xf numFmtId="3" fontId="0" fillId="0" borderId="2" xfId="0" applyNumberFormat="1" applyBorder="1" applyAlignment="1">
      <alignment horizontal="center"/>
    </xf>
    <xf numFmtId="0" fontId="0" fillId="0" borderId="2" xfId="0" applyBorder="1" applyAlignment="1">
      <alignment horizontal="center"/>
    </xf>
    <xf numFmtId="0" fontId="2" fillId="0" borderId="0" xfId="0" applyFont="1" applyAlignment="1">
      <alignment horizontal="center" vertical="center"/>
    </xf>
    <xf numFmtId="0" fontId="10" fillId="6" borderId="0" xfId="0" applyFont="1" applyFill="1" applyAlignment="1">
      <alignment horizontal="center"/>
    </xf>
    <xf numFmtId="0" fontId="10" fillId="6" borderId="8" xfId="0" applyFont="1" applyFill="1" applyBorder="1" applyAlignment="1">
      <alignment horizontal="center"/>
    </xf>
    <xf numFmtId="4" fontId="0" fillId="0" borderId="2" xfId="0" applyNumberFormat="1" applyBorder="1" applyAlignment="1">
      <alignment horizontal="center"/>
    </xf>
    <xf numFmtId="0" fontId="0" fillId="7" borderId="3" xfId="0" applyFill="1" applyBorder="1" applyAlignment="1">
      <alignment horizontal="center"/>
    </xf>
    <xf numFmtId="0" fontId="0" fillId="7" borderId="4" xfId="0" applyFill="1" applyBorder="1" applyAlignment="1">
      <alignment horizontal="center"/>
    </xf>
    <xf numFmtId="0" fontId="0" fillId="0" borderId="3" xfId="0" applyBorder="1" applyAlignment="1">
      <alignment horizontal="center"/>
    </xf>
    <xf numFmtId="0" fontId="8" fillId="0" borderId="0" xfId="0" applyFont="1" applyAlignment="1">
      <alignment horizontal="left"/>
    </xf>
    <xf numFmtId="0" fontId="13" fillId="0" borderId="9" xfId="0" applyFont="1" applyBorder="1" applyAlignment="1">
      <alignment horizontal="center"/>
    </xf>
    <xf numFmtId="3" fontId="9" fillId="6" borderId="2" xfId="1" applyNumberFormat="1" applyFont="1" applyFill="1" applyBorder="1" applyAlignment="1">
      <alignment horizontal="center"/>
    </xf>
    <xf numFmtId="0" fontId="0" fillId="7" borderId="0" xfId="0" applyFill="1" applyAlignment="1">
      <alignment horizontal="left"/>
    </xf>
  </cellXfs>
  <cellStyles count="2">
    <cellStyle name="Normal" xfId="0" builtinId="0"/>
    <cellStyle name="Note" xfId="1" builtinId="10"/>
  </cellStyles>
  <dxfs count="78">
    <dxf>
      <numFmt numFmtId="3"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name val="Berlin Sans FB"/>
        <scheme val="none"/>
      </font>
    </dxf>
    <dxf>
      <font>
        <b val="0"/>
        <i val="0"/>
        <strike val="0"/>
        <condense val="0"/>
        <extend val="0"/>
        <outline val="0"/>
        <shadow val="0"/>
        <u val="none"/>
        <vertAlign val="baseline"/>
        <sz val="12"/>
        <color theme="1"/>
        <name val="Times New Roman"/>
        <family val="1"/>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4" formatCode="#,##0.00"/>
      <alignment horizontal="right" vertical="center" textRotation="0" wrapText="0" indent="2" justifyLastLine="0" shrinkToFit="0" readingOrder="0"/>
    </dxf>
    <dxf>
      <font>
        <b val="0"/>
        <i val="0"/>
        <strike val="0"/>
        <condense val="0"/>
        <extend val="0"/>
        <outline val="0"/>
        <shadow val="0"/>
        <u val="none"/>
        <vertAlign val="baseline"/>
        <sz val="12"/>
        <color rgb="FF000000"/>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2"/>
        <color rgb="FF000000"/>
        <name val="Times New Roman"/>
        <family val="1"/>
        <scheme val="none"/>
      </font>
      <numFmt numFmtId="4" formatCode="#,##0.00"/>
      <alignment horizontal="right" vertical="center" textRotation="0" wrapText="1" indent="2" justifyLastLine="0" shrinkToFit="0" readingOrder="0"/>
    </dxf>
    <dxf>
      <font>
        <b val="0"/>
        <i val="0"/>
        <strike val="0"/>
        <condense val="0"/>
        <extend val="0"/>
        <outline val="0"/>
        <shadow val="0"/>
        <u val="none"/>
        <vertAlign val="baseline"/>
        <sz val="12"/>
        <color rgb="FF000000"/>
        <name val="Times New Roman"/>
        <family val="1"/>
        <scheme val="none"/>
      </font>
      <alignment horizontal="right" vertical="center" textRotation="0" wrapText="1" indent="2" justifyLastLine="0" shrinkToFit="0" readingOrder="0"/>
    </dxf>
    <dxf>
      <font>
        <b val="0"/>
        <i val="0"/>
        <strike val="0"/>
        <condense val="0"/>
        <extend val="0"/>
        <outline val="0"/>
        <shadow val="0"/>
        <u val="none"/>
        <vertAlign val="baseline"/>
        <sz val="12"/>
        <color rgb="FF000000"/>
        <name val="Times New Roman"/>
        <family val="1"/>
        <scheme val="none"/>
      </font>
      <numFmt numFmtId="4" formatCode="#,##0.00"/>
      <alignment horizontal="right" vertical="center" textRotation="0" wrapText="1" indent="2" justifyLastLine="0" shrinkToFit="0" readingOrder="0"/>
    </dxf>
    <dxf>
      <font>
        <b val="0"/>
        <i val="0"/>
        <strike val="0"/>
        <condense val="0"/>
        <extend val="0"/>
        <outline val="0"/>
        <shadow val="0"/>
        <u val="none"/>
        <vertAlign val="baseline"/>
        <sz val="12"/>
        <color rgb="FF000000"/>
        <name val="Times New Roman"/>
        <family val="1"/>
        <scheme val="none"/>
      </font>
      <numFmt numFmtId="3" formatCode="#,##0"/>
      <alignment horizontal="right" vertical="center" textRotation="0" wrapText="1" indent="2" justifyLastLine="0" shrinkToFit="0" readingOrder="0"/>
    </dxf>
    <dxf>
      <font>
        <b val="0"/>
        <i val="0"/>
        <strike val="0"/>
        <condense val="0"/>
        <extend val="0"/>
        <outline val="0"/>
        <shadow val="0"/>
        <u val="none"/>
        <vertAlign val="baseline"/>
        <sz val="12"/>
        <color rgb="FF000000"/>
        <name val="Times New Roman"/>
        <family val="1"/>
        <scheme val="none"/>
      </font>
      <numFmt numFmtId="4" formatCode="#,##0.00"/>
      <alignment horizontal="right" vertical="center" textRotation="0" wrapText="1" indent="2" justifyLastLine="0" shrinkToFit="0" readingOrder="0"/>
    </dxf>
    <dxf>
      <font>
        <b val="0"/>
        <i val="0"/>
        <strike val="0"/>
        <condense val="0"/>
        <extend val="0"/>
        <outline val="0"/>
        <shadow val="0"/>
        <u val="none"/>
        <vertAlign val="baseline"/>
        <sz val="12"/>
        <color rgb="FF000000"/>
        <name val="Times New Roman"/>
        <family val="1"/>
        <scheme val="none"/>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2"/>
        <name val="Times New Roman"/>
        <family val="1"/>
        <scheme val="none"/>
      </font>
    </dxf>
    <dxf>
      <font>
        <b val="0"/>
        <i val="0"/>
        <strike val="0"/>
        <condense val="0"/>
        <extend val="0"/>
        <outline val="0"/>
        <shadow val="0"/>
        <u val="none"/>
        <vertAlign val="baseline"/>
        <sz val="12"/>
        <color theme="1"/>
        <name val="Times New Roman"/>
        <family val="1"/>
        <scheme val="none"/>
      </font>
      <fill>
        <patternFill patternType="solid">
          <fgColor indexed="64"/>
          <bgColor rgb="FF854621"/>
        </patternFill>
      </fill>
      <alignment horizontal="center" vertical="bottom" textRotation="0" wrapText="0" indent="0" justifyLastLine="0" shrinkToFit="0" readingOrder="0"/>
    </dxf>
    <dxf>
      <numFmt numFmtId="3" formatCode="#,##0"/>
    </dxf>
    <dxf>
      <font>
        <strike val="0"/>
        <outline val="0"/>
        <shadow val="0"/>
        <u val="none"/>
        <vertAlign val="baseline"/>
        <sz val="12"/>
        <name val="Times New Roman"/>
        <family val="1"/>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3" formatCode="#,##0"/>
      <alignment horizontal="right" vertical="center" textRotation="0" wrapText="0" indent="2" justifyLastLine="0" shrinkToFit="0" readingOrder="0"/>
    </dxf>
    <dxf>
      <font>
        <b val="0"/>
        <i val="0"/>
        <strike val="0"/>
        <condense val="0"/>
        <extend val="0"/>
        <outline val="0"/>
        <shadow val="0"/>
        <u val="none"/>
        <vertAlign val="baseline"/>
        <sz val="12"/>
        <color rgb="FF000000"/>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2"/>
        <color rgb="FF000000"/>
        <name val="Times New Roman"/>
        <family val="1"/>
        <scheme val="none"/>
      </font>
      <alignment horizontal="right" vertical="center" textRotation="0" wrapText="1" indent="2" justifyLastLine="0" shrinkToFit="0" readingOrder="0"/>
    </dxf>
    <dxf>
      <font>
        <b val="0"/>
        <i val="0"/>
        <strike val="0"/>
        <condense val="0"/>
        <extend val="0"/>
        <outline val="0"/>
        <shadow val="0"/>
        <u val="none"/>
        <vertAlign val="baseline"/>
        <sz val="12"/>
        <color rgb="FF000000"/>
        <name val="Times New Roman"/>
        <family val="1"/>
        <scheme val="none"/>
      </font>
      <alignment horizontal="right" vertical="center" textRotation="0" wrapText="1" indent="2" justifyLastLine="0" shrinkToFit="0" readingOrder="0"/>
    </dxf>
    <dxf>
      <font>
        <b val="0"/>
        <i val="0"/>
        <strike val="0"/>
        <condense val="0"/>
        <extend val="0"/>
        <outline val="0"/>
        <shadow val="0"/>
        <u val="none"/>
        <vertAlign val="baseline"/>
        <sz val="12"/>
        <color rgb="FF000000"/>
        <name val="Times New Roman"/>
        <family val="1"/>
        <scheme val="none"/>
      </font>
      <numFmt numFmtId="3" formatCode="#,##0"/>
      <alignment horizontal="right" vertical="center" textRotation="0" wrapText="1" indent="2" justifyLastLine="0" shrinkToFit="0" readingOrder="0"/>
    </dxf>
    <dxf>
      <font>
        <b val="0"/>
        <i val="0"/>
        <strike val="0"/>
        <condense val="0"/>
        <extend val="0"/>
        <outline val="0"/>
        <shadow val="0"/>
        <u val="none"/>
        <vertAlign val="baseline"/>
        <sz val="12"/>
        <color rgb="FF000000"/>
        <name val="Times New Roman"/>
        <family val="1"/>
        <scheme val="none"/>
      </font>
      <numFmt numFmtId="3" formatCode="#,##0"/>
      <alignment horizontal="right" vertical="center" textRotation="0" wrapText="1" indent="2" justifyLastLine="0" shrinkToFit="0" readingOrder="0"/>
    </dxf>
    <dxf>
      <font>
        <b val="0"/>
        <i val="0"/>
        <strike val="0"/>
        <condense val="0"/>
        <extend val="0"/>
        <outline val="0"/>
        <shadow val="0"/>
        <u val="none"/>
        <vertAlign val="baseline"/>
        <sz val="12"/>
        <color rgb="FF000000"/>
        <name val="Times New Roman"/>
        <family val="1"/>
        <scheme val="none"/>
      </font>
      <numFmt numFmtId="3" formatCode="#,##0"/>
      <alignment horizontal="right" vertical="center" textRotation="0" wrapText="1" indent="2" justifyLastLine="0" shrinkToFit="0" readingOrder="0"/>
    </dxf>
    <dxf>
      <font>
        <b val="0"/>
        <i val="0"/>
        <strike val="0"/>
        <condense val="0"/>
        <extend val="0"/>
        <outline val="0"/>
        <shadow val="0"/>
        <u val="none"/>
        <vertAlign val="baseline"/>
        <sz val="12"/>
        <color rgb="FF000000"/>
        <name val="Times New Roman"/>
        <family val="1"/>
        <scheme val="none"/>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2"/>
        <name val="Times New Roman"/>
        <family val="1"/>
        <scheme val="none"/>
      </font>
    </dxf>
    <dxf>
      <font>
        <b val="0"/>
        <i val="0"/>
        <strike val="0"/>
        <condense val="0"/>
        <extend val="0"/>
        <outline val="0"/>
        <shadow val="0"/>
        <u val="none"/>
        <vertAlign val="baseline"/>
        <sz val="12"/>
        <color theme="1"/>
        <name val="Times New Roman"/>
        <family val="1"/>
        <scheme val="none"/>
      </font>
      <fill>
        <patternFill patternType="solid">
          <fgColor indexed="64"/>
          <bgColor rgb="FF854621"/>
        </patternFill>
      </fill>
      <alignment horizontal="center" vertical="bottom" textRotation="0" wrapText="0" indent="0" justifyLastLine="0" shrinkToFit="0" readingOrder="0"/>
    </dxf>
    <dxf>
      <numFmt numFmtId="3" formatCode="#,##0"/>
    </dxf>
    <dxf>
      <font>
        <strike val="0"/>
        <outline val="0"/>
        <shadow val="0"/>
        <u val="none"/>
        <vertAlign val="baseline"/>
        <sz val="12"/>
        <name val="Times New Roman"/>
        <family val="1"/>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3" formatCode="#,##0"/>
      <alignment horizontal="right" vertical="center" textRotation="0" wrapText="0" indent="2" justifyLastLine="0" shrinkToFit="0" readingOrder="0"/>
    </dxf>
    <dxf>
      <font>
        <b val="0"/>
        <i val="0"/>
        <strike val="0"/>
        <condense val="0"/>
        <extend val="0"/>
        <outline val="0"/>
        <shadow val="0"/>
        <u val="none"/>
        <vertAlign val="baseline"/>
        <sz val="12"/>
        <color rgb="FF000000"/>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2"/>
        <color rgb="FF000000"/>
        <name val="Times New Roman"/>
        <family val="1"/>
        <scheme val="none"/>
      </font>
      <numFmt numFmtId="3" formatCode="#,##0"/>
      <alignment horizontal="right" vertical="center" textRotation="0" wrapText="1" indent="2" justifyLastLine="0" shrinkToFit="0" readingOrder="0"/>
    </dxf>
    <dxf>
      <font>
        <b val="0"/>
        <i val="0"/>
        <strike val="0"/>
        <condense val="0"/>
        <extend val="0"/>
        <outline val="0"/>
        <shadow val="0"/>
        <u val="none"/>
        <vertAlign val="baseline"/>
        <sz val="12"/>
        <color rgb="FF000000"/>
        <name val="Times New Roman"/>
        <family val="1"/>
        <scheme val="none"/>
      </font>
      <alignment horizontal="right" vertical="center" textRotation="0" wrapText="1" indent="2" justifyLastLine="0" shrinkToFit="0" readingOrder="0"/>
    </dxf>
    <dxf>
      <font>
        <b val="0"/>
        <i val="0"/>
        <strike val="0"/>
        <condense val="0"/>
        <extend val="0"/>
        <outline val="0"/>
        <shadow val="0"/>
        <u val="none"/>
        <vertAlign val="baseline"/>
        <sz val="12"/>
        <color rgb="FF000000"/>
        <name val="Times New Roman"/>
        <family val="1"/>
        <scheme val="none"/>
      </font>
      <numFmt numFmtId="3" formatCode="#,##0"/>
      <alignment horizontal="right" vertical="center" textRotation="0" wrapText="1" indent="2" justifyLastLine="0" shrinkToFit="0" readingOrder="0"/>
    </dxf>
    <dxf>
      <font>
        <b val="0"/>
        <i val="0"/>
        <strike val="0"/>
        <condense val="0"/>
        <extend val="0"/>
        <outline val="0"/>
        <shadow val="0"/>
        <u val="none"/>
        <vertAlign val="baseline"/>
        <sz val="12"/>
        <color rgb="FF000000"/>
        <name val="Times New Roman"/>
        <family val="1"/>
        <scheme val="none"/>
      </font>
      <numFmt numFmtId="3" formatCode="#,##0"/>
      <alignment horizontal="right" vertical="center" textRotation="0" wrapText="1" indent="2" justifyLastLine="0" shrinkToFit="0" readingOrder="0"/>
    </dxf>
    <dxf>
      <font>
        <b val="0"/>
        <i val="0"/>
        <strike val="0"/>
        <condense val="0"/>
        <extend val="0"/>
        <outline val="0"/>
        <shadow val="0"/>
        <u val="none"/>
        <vertAlign val="baseline"/>
        <sz val="12"/>
        <color rgb="FF000000"/>
        <name val="Times New Roman"/>
        <family val="1"/>
        <scheme val="none"/>
      </font>
      <numFmt numFmtId="3" formatCode="#,##0"/>
      <alignment horizontal="right" vertical="center" textRotation="0" wrapText="1" indent="2" justifyLastLine="0" shrinkToFit="0" readingOrder="0"/>
    </dxf>
    <dxf>
      <font>
        <b val="0"/>
        <i val="0"/>
        <strike val="0"/>
        <condense val="0"/>
        <extend val="0"/>
        <outline val="0"/>
        <shadow val="0"/>
        <u val="none"/>
        <vertAlign val="baseline"/>
        <sz val="12"/>
        <color rgb="FF000000"/>
        <name val="Times New Roman"/>
        <family val="1"/>
        <scheme val="none"/>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2"/>
        <name val="Times New Roman"/>
        <family val="1"/>
        <scheme val="none"/>
      </font>
    </dxf>
    <dxf>
      <font>
        <b/>
        <i val="0"/>
        <strike val="0"/>
        <condense val="0"/>
        <extend val="0"/>
        <outline val="0"/>
        <shadow val="0"/>
        <u val="none"/>
        <vertAlign val="baseline"/>
        <sz val="12"/>
        <color auto="1"/>
        <name val="Times New Roman"/>
        <family val="1"/>
        <scheme val="none"/>
      </font>
      <fill>
        <patternFill patternType="solid">
          <fgColor indexed="64"/>
          <bgColor rgb="FF85462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3" formatCode="#,##0"/>
      <alignment horizontal="right" vertical="center" textRotation="0" wrapText="0" indent="2" justifyLastLine="0" shrinkToFit="0" readingOrder="0"/>
    </dxf>
    <dxf>
      <font>
        <b val="0"/>
        <i val="0"/>
        <strike val="0"/>
        <condense val="0"/>
        <extend val="0"/>
        <outline val="0"/>
        <shadow val="0"/>
        <u val="none"/>
        <vertAlign val="baseline"/>
        <sz val="12"/>
        <color rgb="FF000000"/>
        <name val="Times New Roman"/>
        <family val="1"/>
        <scheme val="none"/>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2"/>
        <name val="Times New Roman"/>
        <family val="1"/>
        <scheme val="none"/>
      </font>
    </dxf>
    <dxf>
      <font>
        <b val="0"/>
        <i val="0"/>
        <strike val="0"/>
        <condense val="0"/>
        <extend val="0"/>
        <outline val="0"/>
        <shadow val="0"/>
        <u val="none"/>
        <vertAlign val="baseline"/>
        <sz val="12"/>
        <color theme="1"/>
        <name val="Times New Roman"/>
        <family val="1"/>
        <scheme val="none"/>
      </font>
      <fill>
        <patternFill patternType="solid">
          <fgColor indexed="64"/>
          <bgColor rgb="FF854621"/>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2"/>
        <color rgb="FF000000"/>
        <name val="Times New Roman"/>
        <family val="1"/>
        <scheme val="none"/>
      </font>
      <alignment horizontal="right" vertical="center" textRotation="0" wrapText="1" indent="2" justifyLastLine="0" shrinkToFit="0" readingOrder="0"/>
    </dxf>
    <dxf>
      <font>
        <b val="0"/>
        <i val="0"/>
        <strike val="0"/>
        <condense val="0"/>
        <extend val="0"/>
        <outline val="0"/>
        <shadow val="0"/>
        <u val="none"/>
        <vertAlign val="baseline"/>
        <sz val="12"/>
        <color rgb="FF000000"/>
        <name val="Times New Roman"/>
        <family val="1"/>
        <scheme val="none"/>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2"/>
        <name val="Times New Roman"/>
        <family val="1"/>
        <scheme val="none"/>
      </font>
    </dxf>
    <dxf>
      <font>
        <b val="0"/>
        <i val="0"/>
        <strike val="0"/>
        <condense val="0"/>
        <extend val="0"/>
        <outline val="0"/>
        <shadow val="0"/>
        <u val="none"/>
        <vertAlign val="baseline"/>
        <sz val="12"/>
        <color theme="1"/>
        <name val="Times New Roman"/>
        <family val="1"/>
        <scheme val="none"/>
      </font>
      <fill>
        <patternFill patternType="solid">
          <fgColor indexed="64"/>
          <bgColor rgb="FF854621"/>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alignment horizontal="right" vertical="center" textRotation="0" wrapText="1" indent="2" justifyLastLine="0" shrinkToFit="0" readingOrder="0"/>
    </dxf>
    <dxf>
      <font>
        <b val="0"/>
        <i val="0"/>
        <strike val="0"/>
        <condense val="0"/>
        <extend val="0"/>
        <outline val="0"/>
        <shadow val="0"/>
        <u val="none"/>
        <vertAlign val="baseline"/>
        <sz val="12"/>
        <color rgb="FF000000"/>
        <name val="Times New Roman"/>
        <family val="1"/>
        <scheme val="none"/>
      </font>
      <numFmt numFmtId="3" formatCode="#,##0"/>
      <alignment horizontal="right" vertical="center" textRotation="0" wrapText="1" indent="2" justifyLastLine="0" shrinkToFit="0" readingOrder="0"/>
    </dxf>
    <dxf>
      <font>
        <b val="0"/>
        <i val="0"/>
        <strike val="0"/>
        <condense val="0"/>
        <extend val="0"/>
        <outline val="0"/>
        <shadow val="0"/>
        <u val="none"/>
        <vertAlign val="baseline"/>
        <sz val="12"/>
        <color rgb="FF000000"/>
        <name val="Times New Roman"/>
        <family val="1"/>
        <scheme val="none"/>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2"/>
        <name val="Times New Roman"/>
        <family val="1"/>
        <scheme val="none"/>
      </font>
    </dxf>
    <dxf>
      <font>
        <b val="0"/>
        <i val="0"/>
        <strike val="0"/>
        <condense val="0"/>
        <extend val="0"/>
        <outline val="0"/>
        <shadow val="0"/>
        <u val="none"/>
        <vertAlign val="baseline"/>
        <sz val="12"/>
        <color theme="1"/>
        <name val="Times New Roman"/>
        <family val="1"/>
        <scheme val="none"/>
      </font>
      <fill>
        <patternFill patternType="solid">
          <fgColor indexed="64"/>
          <bgColor rgb="FF854621"/>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3" formatCode="#,##0"/>
      <alignment horizontal="right" vertical="center" textRotation="0" wrapText="1" indent="2" justifyLastLine="0" shrinkToFit="0" readingOrder="0"/>
    </dxf>
    <dxf>
      <font>
        <b val="0"/>
        <i val="0"/>
        <strike val="0"/>
        <condense val="0"/>
        <extend val="0"/>
        <outline val="0"/>
        <shadow val="0"/>
        <u val="none"/>
        <vertAlign val="baseline"/>
        <sz val="12"/>
        <color rgb="FF000000"/>
        <name val="Times New Roman"/>
        <family val="1"/>
        <scheme val="none"/>
      </font>
      <numFmt numFmtId="3" formatCode="#,##0"/>
      <alignment horizontal="right" vertical="center" textRotation="0" wrapText="1" indent="2" justifyLastLine="0" shrinkToFit="0" readingOrder="0"/>
    </dxf>
    <dxf>
      <font>
        <b val="0"/>
        <i val="0"/>
        <strike val="0"/>
        <condense val="0"/>
        <extend val="0"/>
        <outline val="0"/>
        <shadow val="0"/>
        <u val="none"/>
        <vertAlign val="baseline"/>
        <sz val="12"/>
        <color rgb="FF000000"/>
        <name val="Times New Roman"/>
        <family val="1"/>
        <scheme val="none"/>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2"/>
        <name val="Times New Roman"/>
        <family val="1"/>
        <scheme val="none"/>
      </font>
    </dxf>
    <dxf>
      <font>
        <b val="0"/>
        <i val="0"/>
        <strike val="0"/>
        <condense val="0"/>
        <extend val="0"/>
        <outline val="0"/>
        <shadow val="0"/>
        <u val="none"/>
        <vertAlign val="baseline"/>
        <sz val="12"/>
        <color theme="1"/>
        <name val="Times New Roman"/>
        <family val="1"/>
        <scheme val="none"/>
      </font>
      <fill>
        <patternFill patternType="solid">
          <fgColor indexed="64"/>
          <bgColor rgb="FF854621"/>
        </patternFill>
      </fill>
      <alignment horizontal="center" vertical="bottom" textRotation="0" wrapText="0" indent="0" justifyLastLine="0" shrinkToFit="0" readingOrder="0"/>
    </dxf>
    <dxf>
      <numFmt numFmtId="3" formatCode="#,##0"/>
    </dxf>
    <dxf>
      <font>
        <strike val="0"/>
        <outline val="0"/>
        <shadow val="0"/>
        <u val="none"/>
        <vertAlign val="baseline"/>
        <sz val="12"/>
        <name val="Times New Roman"/>
        <family val="1"/>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3" formatCode="#,##0"/>
      <alignment horizontal="right" vertical="center" textRotation="0" wrapText="0" indent="2" justifyLastLine="0" shrinkToFit="0" readingOrder="0"/>
    </dxf>
    <dxf>
      <font>
        <b val="0"/>
        <i val="0"/>
        <strike val="0"/>
        <condense val="0"/>
        <extend val="0"/>
        <outline val="0"/>
        <shadow val="0"/>
        <u val="none"/>
        <vertAlign val="baseline"/>
        <sz val="12"/>
        <color rgb="FF000000"/>
        <name val="Times New Roman"/>
        <family val="1"/>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2"/>
        <color rgb="FF000000"/>
        <name val="Times New Roman"/>
        <family val="1"/>
        <scheme val="none"/>
      </font>
      <alignment horizontal="right" vertical="center" textRotation="0" wrapText="1" indent="2" justifyLastLine="0" shrinkToFit="0" readingOrder="0"/>
    </dxf>
    <dxf>
      <font>
        <b val="0"/>
        <i val="0"/>
        <strike val="0"/>
        <condense val="0"/>
        <extend val="0"/>
        <outline val="0"/>
        <shadow val="0"/>
        <u val="none"/>
        <vertAlign val="baseline"/>
        <sz val="12"/>
        <color rgb="FF000000"/>
        <name val="Times New Roman"/>
        <family val="1"/>
        <scheme val="none"/>
      </font>
      <numFmt numFmtId="3" formatCode="#,##0"/>
      <alignment horizontal="right" vertical="center" textRotation="0" wrapText="1" indent="2" justifyLastLine="0" shrinkToFit="0" readingOrder="0"/>
    </dxf>
    <dxf>
      <font>
        <b val="0"/>
        <i val="0"/>
        <strike val="0"/>
        <condense val="0"/>
        <extend val="0"/>
        <outline val="0"/>
        <shadow val="0"/>
        <u val="none"/>
        <vertAlign val="baseline"/>
        <sz val="12"/>
        <color rgb="FF000000"/>
        <name val="Times New Roman"/>
        <family val="1"/>
        <scheme val="none"/>
      </font>
      <numFmt numFmtId="3" formatCode="#,##0"/>
      <alignment horizontal="right" vertical="center" textRotation="0" wrapText="1" indent="2" justifyLastLine="0" shrinkToFit="0" readingOrder="0"/>
    </dxf>
    <dxf>
      <font>
        <b val="0"/>
        <i val="0"/>
        <strike val="0"/>
        <condense val="0"/>
        <extend val="0"/>
        <outline val="0"/>
        <shadow val="0"/>
        <u val="none"/>
        <vertAlign val="baseline"/>
        <sz val="12"/>
        <color rgb="FF000000"/>
        <name val="Times New Roman"/>
        <family val="1"/>
        <scheme val="none"/>
      </font>
      <numFmt numFmtId="3" formatCode="#,##0"/>
      <alignment horizontal="right" vertical="center" textRotation="0" wrapText="1" indent="2" justifyLastLine="0" shrinkToFit="0" readingOrder="0"/>
    </dxf>
    <dxf>
      <font>
        <b val="0"/>
        <i val="0"/>
        <strike val="0"/>
        <condense val="0"/>
        <extend val="0"/>
        <outline val="0"/>
        <shadow val="0"/>
        <u val="none"/>
        <vertAlign val="baseline"/>
        <sz val="12"/>
        <color rgb="FF000000"/>
        <name val="Times New Roman"/>
        <family val="1"/>
        <scheme val="none"/>
      </font>
      <numFmt numFmtId="3" formatCode="#,##0"/>
      <alignment horizontal="right" vertical="center" textRotation="0" wrapText="1" indent="2" justifyLastLine="0" shrinkToFit="0" readingOrder="0"/>
    </dxf>
    <dxf>
      <font>
        <b val="0"/>
        <i val="0"/>
        <strike val="0"/>
        <condense val="0"/>
        <extend val="0"/>
        <outline val="0"/>
        <shadow val="0"/>
        <u val="none"/>
        <vertAlign val="baseline"/>
        <sz val="12"/>
        <color rgb="FF000000"/>
        <name val="Times New Roman"/>
        <family val="1"/>
        <scheme val="none"/>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2"/>
        <name val="Times New Roman"/>
        <family val="1"/>
        <scheme val="none"/>
      </font>
    </dxf>
    <dxf>
      <font>
        <b val="0"/>
        <i val="0"/>
        <strike val="0"/>
        <condense val="0"/>
        <extend val="0"/>
        <outline val="0"/>
        <shadow val="0"/>
        <u val="none"/>
        <vertAlign val="baseline"/>
        <sz val="12"/>
        <color theme="1"/>
        <name val="Times New Roman"/>
        <family val="1"/>
        <scheme val="none"/>
      </font>
      <fill>
        <patternFill patternType="solid">
          <fgColor indexed="64"/>
          <bgColor rgb="FF854621"/>
        </patternFill>
      </fill>
      <alignment horizontal="center" vertical="bottom" textRotation="0" wrapText="0" indent="0" justifyLastLine="0" shrinkToFit="0" readingOrder="0"/>
    </dxf>
  </dxfs>
  <tableStyles count="0" defaultTableStyle="TableStyleMedium2" defaultPivotStyle="PivotStyleLight16"/>
  <colors>
    <mruColors>
      <color rgb="FFFFCE33"/>
      <color rgb="FF854621"/>
      <color rgb="FFCF8E55"/>
      <color rgb="FFC24229"/>
      <color rgb="FFE1DCC9"/>
      <color rgb="FFFFBA5B"/>
      <color rgb="FF383230"/>
      <color rgb="FFFFDA65"/>
      <color rgb="FFBFAE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EVIDATA-CASE STUDY.xlsx]Sheet1!PivotTable55</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797123049714244"/>
          <c:y val="6.1305747460302949E-2"/>
          <c:w val="0.52589229017208172"/>
          <c:h val="0.55002994311900999"/>
        </c:manualLayout>
      </c:layout>
      <c:bar3DChart>
        <c:barDir val="col"/>
        <c:grouping val="clustered"/>
        <c:varyColors val="0"/>
        <c:ser>
          <c:idx val="0"/>
          <c:order val="0"/>
          <c:tx>
            <c:strRef>
              <c:f>Sheet1!$B$3</c:f>
              <c:strCache>
                <c:ptCount val="1"/>
                <c:pt idx="0">
                  <c:v>Sum of Premium</c:v>
                </c:pt>
              </c:strCache>
            </c:strRef>
          </c:tx>
          <c:spPr>
            <a:solidFill>
              <a:schemeClr val="accent2"/>
            </a:solidFill>
            <a:ln>
              <a:noFill/>
            </a:ln>
            <a:effectLst/>
            <a:sp3d/>
          </c:spPr>
          <c:invertIfNegative val="0"/>
          <c:cat>
            <c:strRef>
              <c:f>Sheet1!$A$4:$A$14</c:f>
              <c:strCache>
                <c:ptCount val="10"/>
                <c:pt idx="0">
                  <c:v> Tapanuli Utara</c:v>
                </c:pt>
                <c:pt idx="1">
                  <c:v>Asahan</c:v>
                </c:pt>
                <c:pt idx="2">
                  <c:v>Dairi</c:v>
                </c:pt>
                <c:pt idx="3">
                  <c:v>Labuhanbatu</c:v>
                </c:pt>
                <c:pt idx="4">
                  <c:v>Mandailing Natal</c:v>
                </c:pt>
                <c:pt idx="5">
                  <c:v>Nias</c:v>
                </c:pt>
                <c:pt idx="6">
                  <c:v>Simalungun</c:v>
                </c:pt>
                <c:pt idx="7">
                  <c:v>Tapanuli Selatan</c:v>
                </c:pt>
                <c:pt idx="8">
                  <c:v>Tapanuli Tengah</c:v>
                </c:pt>
                <c:pt idx="9">
                  <c:v>Toba</c:v>
                </c:pt>
              </c:strCache>
            </c:strRef>
          </c:cat>
          <c:val>
            <c:numRef>
              <c:f>Sheet1!$B$4:$B$14</c:f>
              <c:numCache>
                <c:formatCode>General</c:formatCode>
                <c:ptCount val="10"/>
                <c:pt idx="0">
                  <c:v>25309</c:v>
                </c:pt>
                <c:pt idx="1">
                  <c:v>81463</c:v>
                </c:pt>
                <c:pt idx="2">
                  <c:v>22583</c:v>
                </c:pt>
                <c:pt idx="3">
                  <c:v>57629</c:v>
                </c:pt>
                <c:pt idx="4">
                  <c:v>36520</c:v>
                </c:pt>
                <c:pt idx="5">
                  <c:v>4398</c:v>
                </c:pt>
                <c:pt idx="6">
                  <c:v>58427</c:v>
                </c:pt>
                <c:pt idx="7">
                  <c:v>13966</c:v>
                </c:pt>
                <c:pt idx="8">
                  <c:v>28455</c:v>
                </c:pt>
                <c:pt idx="9">
                  <c:v>22174</c:v>
                </c:pt>
              </c:numCache>
            </c:numRef>
          </c:val>
          <c:extLst>
            <c:ext xmlns:c16="http://schemas.microsoft.com/office/drawing/2014/chart" uri="{C3380CC4-5D6E-409C-BE32-E72D297353CC}">
              <c16:uniqueId val="{00000005-2C01-4260-80D3-B25AC0A14920}"/>
            </c:ext>
          </c:extLst>
        </c:ser>
        <c:ser>
          <c:idx val="1"/>
          <c:order val="1"/>
          <c:tx>
            <c:strRef>
              <c:f>Sheet1!$C$3</c:f>
              <c:strCache>
                <c:ptCount val="1"/>
                <c:pt idx="0">
                  <c:v>Sum of LPG</c:v>
                </c:pt>
              </c:strCache>
            </c:strRef>
          </c:tx>
          <c:spPr>
            <a:solidFill>
              <a:schemeClr val="accent4"/>
            </a:solidFill>
            <a:ln>
              <a:noFill/>
            </a:ln>
            <a:effectLst/>
            <a:sp3d/>
          </c:spPr>
          <c:invertIfNegative val="0"/>
          <c:cat>
            <c:strRef>
              <c:f>Sheet1!$A$4:$A$14</c:f>
              <c:strCache>
                <c:ptCount val="10"/>
                <c:pt idx="0">
                  <c:v> Tapanuli Utara</c:v>
                </c:pt>
                <c:pt idx="1">
                  <c:v>Asahan</c:v>
                </c:pt>
                <c:pt idx="2">
                  <c:v>Dairi</c:v>
                </c:pt>
                <c:pt idx="3">
                  <c:v>Labuhanbatu</c:v>
                </c:pt>
                <c:pt idx="4">
                  <c:v>Mandailing Natal</c:v>
                </c:pt>
                <c:pt idx="5">
                  <c:v>Nias</c:v>
                </c:pt>
                <c:pt idx="6">
                  <c:v>Simalungun</c:v>
                </c:pt>
                <c:pt idx="7">
                  <c:v>Tapanuli Selatan</c:v>
                </c:pt>
                <c:pt idx="8">
                  <c:v>Tapanuli Tengah</c:v>
                </c:pt>
                <c:pt idx="9">
                  <c:v>Toba</c:v>
                </c:pt>
              </c:strCache>
            </c:strRef>
          </c:cat>
          <c:val>
            <c:numRef>
              <c:f>Sheet1!$C$4:$C$14</c:f>
              <c:numCache>
                <c:formatCode>General</c:formatCode>
                <c:ptCount val="10"/>
                <c:pt idx="0">
                  <c:v>8341</c:v>
                </c:pt>
                <c:pt idx="1">
                  <c:v>23671</c:v>
                </c:pt>
                <c:pt idx="2">
                  <c:v>8299</c:v>
                </c:pt>
                <c:pt idx="3">
                  <c:v>15826</c:v>
                </c:pt>
                <c:pt idx="4">
                  <c:v>8585</c:v>
                </c:pt>
                <c:pt idx="5">
                  <c:v>1490</c:v>
                </c:pt>
                <c:pt idx="6">
                  <c:v>29310</c:v>
                </c:pt>
                <c:pt idx="7">
                  <c:v>7607</c:v>
                </c:pt>
                <c:pt idx="8">
                  <c:v>7372</c:v>
                </c:pt>
                <c:pt idx="9">
                  <c:v>6408</c:v>
                </c:pt>
              </c:numCache>
            </c:numRef>
          </c:val>
          <c:extLst>
            <c:ext xmlns:c16="http://schemas.microsoft.com/office/drawing/2014/chart" uri="{C3380CC4-5D6E-409C-BE32-E72D297353CC}">
              <c16:uniqueId val="{00000006-2C01-4260-80D3-B25AC0A14920}"/>
            </c:ext>
          </c:extLst>
        </c:ser>
        <c:ser>
          <c:idx val="2"/>
          <c:order val="2"/>
          <c:tx>
            <c:strRef>
              <c:f>Sheet1!$D$3</c:f>
              <c:strCache>
                <c:ptCount val="1"/>
                <c:pt idx="0">
                  <c:v>Sum of Minyak Tanah</c:v>
                </c:pt>
              </c:strCache>
            </c:strRef>
          </c:tx>
          <c:spPr>
            <a:solidFill>
              <a:schemeClr val="accent6"/>
            </a:solidFill>
            <a:ln>
              <a:noFill/>
            </a:ln>
            <a:effectLst/>
            <a:sp3d/>
          </c:spPr>
          <c:invertIfNegative val="0"/>
          <c:cat>
            <c:strRef>
              <c:f>Sheet1!$A$4:$A$14</c:f>
              <c:strCache>
                <c:ptCount val="10"/>
                <c:pt idx="0">
                  <c:v> Tapanuli Utara</c:v>
                </c:pt>
                <c:pt idx="1">
                  <c:v>Asahan</c:v>
                </c:pt>
                <c:pt idx="2">
                  <c:v>Dairi</c:v>
                </c:pt>
                <c:pt idx="3">
                  <c:v>Labuhanbatu</c:v>
                </c:pt>
                <c:pt idx="4">
                  <c:v>Mandailing Natal</c:v>
                </c:pt>
                <c:pt idx="5">
                  <c:v>Nias</c:v>
                </c:pt>
                <c:pt idx="6">
                  <c:v>Simalungun</c:v>
                </c:pt>
                <c:pt idx="7">
                  <c:v>Tapanuli Selatan</c:v>
                </c:pt>
                <c:pt idx="8">
                  <c:v>Tapanuli Tengah</c:v>
                </c:pt>
                <c:pt idx="9">
                  <c:v>Toba</c:v>
                </c:pt>
              </c:strCache>
            </c:strRef>
          </c:cat>
          <c:val>
            <c:numRef>
              <c:f>Sheet1!$D$4:$D$14</c:f>
              <c:numCache>
                <c:formatCode>General</c:formatCode>
                <c:ptCount val="10"/>
                <c:pt idx="0">
                  <c:v>0</c:v>
                </c:pt>
                <c:pt idx="1">
                  <c:v>0</c:v>
                </c:pt>
                <c:pt idx="2">
                  <c:v>0</c:v>
                </c:pt>
                <c:pt idx="3">
                  <c:v>0</c:v>
                </c:pt>
                <c:pt idx="4">
                  <c:v>15</c:v>
                </c:pt>
                <c:pt idx="5">
                  <c:v>0</c:v>
                </c:pt>
                <c:pt idx="6">
                  <c:v>0</c:v>
                </c:pt>
                <c:pt idx="7">
                  <c:v>0</c:v>
                </c:pt>
                <c:pt idx="8">
                  <c:v>0</c:v>
                </c:pt>
                <c:pt idx="9">
                  <c:v>0</c:v>
                </c:pt>
              </c:numCache>
            </c:numRef>
          </c:val>
          <c:extLst>
            <c:ext xmlns:c16="http://schemas.microsoft.com/office/drawing/2014/chart" uri="{C3380CC4-5D6E-409C-BE32-E72D297353CC}">
              <c16:uniqueId val="{00000007-2C01-4260-80D3-B25AC0A14920}"/>
            </c:ext>
          </c:extLst>
        </c:ser>
        <c:ser>
          <c:idx val="3"/>
          <c:order val="3"/>
          <c:tx>
            <c:strRef>
              <c:f>Sheet1!$E$3</c:f>
              <c:strCache>
                <c:ptCount val="1"/>
                <c:pt idx="0">
                  <c:v>Sum of Biosolar</c:v>
                </c:pt>
              </c:strCache>
            </c:strRef>
          </c:tx>
          <c:spPr>
            <a:solidFill>
              <a:schemeClr val="accent2">
                <a:lumMod val="60000"/>
              </a:schemeClr>
            </a:solidFill>
            <a:ln>
              <a:noFill/>
            </a:ln>
            <a:effectLst/>
            <a:sp3d/>
          </c:spPr>
          <c:invertIfNegative val="0"/>
          <c:cat>
            <c:strRef>
              <c:f>Sheet1!$A$4:$A$14</c:f>
              <c:strCache>
                <c:ptCount val="10"/>
                <c:pt idx="0">
                  <c:v> Tapanuli Utara</c:v>
                </c:pt>
                <c:pt idx="1">
                  <c:v>Asahan</c:v>
                </c:pt>
                <c:pt idx="2">
                  <c:v>Dairi</c:v>
                </c:pt>
                <c:pt idx="3">
                  <c:v>Labuhanbatu</c:v>
                </c:pt>
                <c:pt idx="4">
                  <c:v>Mandailing Natal</c:v>
                </c:pt>
                <c:pt idx="5">
                  <c:v>Nias</c:v>
                </c:pt>
                <c:pt idx="6">
                  <c:v>Simalungun</c:v>
                </c:pt>
                <c:pt idx="7">
                  <c:v>Tapanuli Selatan</c:v>
                </c:pt>
                <c:pt idx="8">
                  <c:v>Tapanuli Tengah</c:v>
                </c:pt>
                <c:pt idx="9">
                  <c:v>Toba</c:v>
                </c:pt>
              </c:strCache>
            </c:strRef>
          </c:cat>
          <c:val>
            <c:numRef>
              <c:f>Sheet1!$E$4:$E$14</c:f>
              <c:numCache>
                <c:formatCode>General</c:formatCode>
                <c:ptCount val="10"/>
                <c:pt idx="0">
                  <c:v>27024</c:v>
                </c:pt>
                <c:pt idx="1">
                  <c:v>50053</c:v>
                </c:pt>
                <c:pt idx="2">
                  <c:v>13488</c:v>
                </c:pt>
                <c:pt idx="3">
                  <c:v>49452</c:v>
                </c:pt>
                <c:pt idx="4">
                  <c:v>23336</c:v>
                </c:pt>
                <c:pt idx="5">
                  <c:v>1096</c:v>
                </c:pt>
                <c:pt idx="6">
                  <c:v>40215</c:v>
                </c:pt>
                <c:pt idx="7">
                  <c:v>13304</c:v>
                </c:pt>
                <c:pt idx="8">
                  <c:v>24880</c:v>
                </c:pt>
                <c:pt idx="9">
                  <c:v>20091</c:v>
                </c:pt>
              </c:numCache>
            </c:numRef>
          </c:val>
          <c:extLst>
            <c:ext xmlns:c16="http://schemas.microsoft.com/office/drawing/2014/chart" uri="{C3380CC4-5D6E-409C-BE32-E72D297353CC}">
              <c16:uniqueId val="{00000008-2C01-4260-80D3-B25AC0A14920}"/>
            </c:ext>
          </c:extLst>
        </c:ser>
        <c:dLbls>
          <c:showLegendKey val="0"/>
          <c:showVal val="0"/>
          <c:showCatName val="0"/>
          <c:showSerName val="0"/>
          <c:showPercent val="0"/>
          <c:showBubbleSize val="0"/>
        </c:dLbls>
        <c:gapWidth val="150"/>
        <c:shape val="box"/>
        <c:axId val="1731985840"/>
        <c:axId val="1896337456"/>
        <c:axId val="0"/>
      </c:bar3DChart>
      <c:catAx>
        <c:axId val="1731985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cap="none" spc="0" normalizeH="0" baseline="0">
                <a:solidFill>
                  <a:sysClr val="windowText" lastClr="000000"/>
                </a:solidFill>
                <a:latin typeface="Berlin Sans FB" panose="020E0602020502020306" pitchFamily="34" charset="0"/>
                <a:ea typeface="+mn-ea"/>
                <a:cs typeface="Times New Roman" panose="02020603050405020304" pitchFamily="18" charset="0"/>
              </a:defRPr>
            </a:pPr>
            <a:endParaRPr lang="en-US"/>
          </a:p>
        </c:txPr>
        <c:crossAx val="1896337456"/>
        <c:crosses val="autoZero"/>
        <c:auto val="1"/>
        <c:lblAlgn val="ctr"/>
        <c:lblOffset val="100"/>
        <c:noMultiLvlLbl val="0"/>
      </c:catAx>
      <c:valAx>
        <c:axId val="189633745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en-US"/>
          </a:p>
        </c:txPr>
        <c:crossAx val="1731985840"/>
        <c:crosses val="autoZero"/>
        <c:crossBetween val="between"/>
      </c:valAx>
      <c:spPr>
        <a:noFill/>
        <a:ln>
          <a:noFill/>
        </a:ln>
        <a:effectLst/>
      </c:spPr>
    </c:plotArea>
    <c:legend>
      <c:legendPos val="r"/>
      <c:layout>
        <c:manualLayout>
          <c:xMode val="edge"/>
          <c:yMode val="edge"/>
          <c:x val="0.70497177453918236"/>
          <c:y val="0.35595347508596897"/>
          <c:w val="0.29502822546081758"/>
          <c:h val="0.32142593113476331"/>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Berlin Sans FB" panose="020E0602020502020306" pitchFamily="34"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solidFill>
        <a:srgbClr val="E1DCC9"/>
      </a:solidFill>
      <a:prstDash val="lgDash"/>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EVIDATA-CASE STUDY.xlsx]pie!PivotTable55</c:name>
    <c:fmtId val="16"/>
  </c:pivotSource>
  <c:chart>
    <c:title>
      <c:tx>
        <c:rich>
          <a:bodyPr rot="0" spcFirstLastPara="1" vertOverflow="ellipsis" vert="horz" wrap="square" anchor="ctr" anchorCtr="1"/>
          <a:lstStyle/>
          <a:p>
            <a:pPr>
              <a:defRPr sz="1100" b="1" i="0" u="none" strike="noStrike" kern="1200" cap="all" spc="50" baseline="0">
                <a:solidFill>
                  <a:sysClr val="windowText" lastClr="000000"/>
                </a:solidFill>
                <a:latin typeface="Berlin Sans FB" panose="020E0602020502020306" pitchFamily="34" charset="0"/>
                <a:ea typeface="+mn-ea"/>
                <a:cs typeface="+mn-cs"/>
              </a:defRPr>
            </a:pPr>
            <a:r>
              <a:rPr lang="en-US" sz="1100">
                <a:solidFill>
                  <a:sysClr val="windowText" lastClr="000000"/>
                </a:solidFill>
                <a:latin typeface="Berlin Sans FB" panose="020E0602020502020306" pitchFamily="34" charset="0"/>
              </a:rPr>
              <a:t>Penyebaran</a:t>
            </a:r>
            <a:r>
              <a:rPr lang="en-US" sz="1100" baseline="0">
                <a:solidFill>
                  <a:sysClr val="windowText" lastClr="000000"/>
                </a:solidFill>
                <a:latin typeface="Berlin Sans FB" panose="020E0602020502020306" pitchFamily="34" charset="0"/>
              </a:rPr>
              <a:t> bahan bakar minyak</a:t>
            </a:r>
            <a:endParaRPr lang="en-US" sz="1100">
              <a:solidFill>
                <a:sysClr val="windowText" lastClr="000000"/>
              </a:solidFill>
              <a:latin typeface="Berlin Sans FB" panose="020E0602020502020306" pitchFamily="34" charset="0"/>
            </a:endParaRPr>
          </a:p>
        </c:rich>
      </c:tx>
      <c:layout>
        <c:manualLayout>
          <c:xMode val="edge"/>
          <c:yMode val="edge"/>
          <c:x val="0.11708941586168677"/>
          <c:y val="3.1943216530991837E-2"/>
        </c:manualLayout>
      </c:layout>
      <c:overlay val="0"/>
      <c:spPr>
        <a:noFill/>
        <a:ln>
          <a:noFill/>
        </a:ln>
        <a:effectLst/>
      </c:spPr>
      <c:txPr>
        <a:bodyPr rot="0" spcFirstLastPara="1" vertOverflow="ellipsis" vert="horz" wrap="square" anchor="ctr" anchorCtr="1"/>
        <a:lstStyle/>
        <a:p>
          <a:pPr>
            <a:defRPr sz="1100" b="1" i="0" u="none" strike="noStrike" kern="1200" cap="all" spc="50" baseline="0">
              <a:solidFill>
                <a:sysClr val="windowText" lastClr="000000"/>
              </a:solidFill>
              <a:latin typeface="Berlin Sans FB" panose="020E0602020502020306" pitchFamily="34" charset="0"/>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pie!$B$3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893-43BF-963A-A688A1F2B2E8}"/>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893-43BF-963A-A688A1F2B2E8}"/>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893-43BF-963A-A688A1F2B2E8}"/>
              </c:ext>
            </c:extLst>
          </c:dPt>
          <c:dPt>
            <c:idx val="3"/>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893-43BF-963A-A688A1F2B2E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pie!$A$4:$A$7</c:f>
              <c:strCache>
                <c:ptCount val="4"/>
                <c:pt idx="0">
                  <c:v>Sum of Premium</c:v>
                </c:pt>
                <c:pt idx="1">
                  <c:v>Sum of LPG</c:v>
                </c:pt>
                <c:pt idx="2">
                  <c:v>Sum of Minyak Tanah</c:v>
                </c:pt>
                <c:pt idx="3">
                  <c:v>Sum of Biosolar</c:v>
                </c:pt>
              </c:strCache>
            </c:strRef>
          </c:cat>
          <c:val>
            <c:numRef>
              <c:f>pie!$B$4:$B$7</c:f>
              <c:numCache>
                <c:formatCode>General</c:formatCode>
                <c:ptCount val="4"/>
                <c:pt idx="0">
                  <c:v>350924</c:v>
                </c:pt>
                <c:pt idx="1">
                  <c:v>116909</c:v>
                </c:pt>
                <c:pt idx="2">
                  <c:v>15</c:v>
                </c:pt>
                <c:pt idx="3">
                  <c:v>262939</c:v>
                </c:pt>
              </c:numCache>
            </c:numRef>
          </c:val>
          <c:extLst>
            <c:ext xmlns:c16="http://schemas.microsoft.com/office/drawing/2014/chart" uri="{C3380CC4-5D6E-409C-BE32-E72D297353CC}">
              <c16:uniqueId val="{00000008-3893-43BF-963A-A688A1F2B2E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Berlin Sans FB" panose="020E0602020502020306"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solidFill>
        <a:srgbClr val="E1DCC9"/>
      </a:solidFill>
      <a:prstDash val="lgDash"/>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EVIDATA-CASE STUDY.xlsx]Sheet1!PivotTable55</c:name>
    <c:fmtId val="12"/>
  </c:pivotSource>
  <c:chart>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E1DCC9"/>
            </a:solidFill>
            <a:round/>
          </a:ln>
          <a:effectLst/>
        </c:spPr>
        <c:marker>
          <c:symbol val="circle"/>
          <c:size val="5"/>
          <c:spPr>
            <a:solidFill>
              <a:srgbClr val="E1DCC9"/>
            </a:solidFill>
            <a:ln w="9525">
              <a:solidFill>
                <a:srgbClr val="E1DCC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CE33"/>
            </a:solidFill>
            <a:round/>
          </a:ln>
          <a:effectLst/>
        </c:spPr>
        <c:marker>
          <c:symbol val="circle"/>
          <c:size val="5"/>
          <c:spPr>
            <a:solidFill>
              <a:srgbClr val="FFCE33"/>
            </a:solidFill>
            <a:ln w="9525">
              <a:solidFill>
                <a:srgbClr val="FFCE3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C24229"/>
            </a:solidFill>
            <a:round/>
          </a:ln>
          <a:effectLst/>
        </c:spPr>
        <c:marker>
          <c:symbol val="circle"/>
          <c:size val="5"/>
          <c:spPr>
            <a:solidFill>
              <a:srgbClr val="C24229"/>
            </a:solidFill>
            <a:ln w="9525">
              <a:solidFill>
                <a:srgbClr val="C2422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854621"/>
            </a:solidFill>
            <a:round/>
          </a:ln>
          <a:effectLst/>
        </c:spPr>
        <c:marker>
          <c:symbol val="circle"/>
          <c:size val="5"/>
          <c:spPr>
            <a:solidFill>
              <a:srgbClr val="854621"/>
            </a:solidFill>
            <a:ln w="9525">
              <a:solidFill>
                <a:srgbClr val="85462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52729618376748"/>
          <c:y val="6.4784373338716242E-2"/>
          <c:w val="0.66292011626024527"/>
          <c:h val="0.6464507600504138"/>
        </c:manualLayout>
      </c:layout>
      <c:lineChart>
        <c:grouping val="standard"/>
        <c:varyColors val="0"/>
        <c:ser>
          <c:idx val="0"/>
          <c:order val="0"/>
          <c:tx>
            <c:strRef>
              <c:f>Sheet1!$B$3</c:f>
              <c:strCache>
                <c:ptCount val="1"/>
                <c:pt idx="0">
                  <c:v>Sum of Premium</c:v>
                </c:pt>
              </c:strCache>
            </c:strRef>
          </c:tx>
          <c:spPr>
            <a:ln w="28575" cap="rnd">
              <a:solidFill>
                <a:srgbClr val="E1DCC9"/>
              </a:solidFill>
              <a:round/>
            </a:ln>
            <a:effectLst/>
          </c:spPr>
          <c:marker>
            <c:symbol val="circle"/>
            <c:size val="5"/>
            <c:spPr>
              <a:solidFill>
                <a:srgbClr val="E1DCC9"/>
              </a:solidFill>
              <a:ln w="9525">
                <a:solidFill>
                  <a:srgbClr val="E1DCC9"/>
                </a:solidFill>
              </a:ln>
              <a:effectLst/>
            </c:spPr>
          </c:marker>
          <c:cat>
            <c:strRef>
              <c:f>Sheet1!$A$4:$A$14</c:f>
              <c:strCache>
                <c:ptCount val="10"/>
                <c:pt idx="0">
                  <c:v> Tapanuli Utara</c:v>
                </c:pt>
                <c:pt idx="1">
                  <c:v>Asahan</c:v>
                </c:pt>
                <c:pt idx="2">
                  <c:v>Dairi</c:v>
                </c:pt>
                <c:pt idx="3">
                  <c:v>Labuhanbatu</c:v>
                </c:pt>
                <c:pt idx="4">
                  <c:v>Mandailing Natal</c:v>
                </c:pt>
                <c:pt idx="5">
                  <c:v>Nias</c:v>
                </c:pt>
                <c:pt idx="6">
                  <c:v>Simalungun</c:v>
                </c:pt>
                <c:pt idx="7">
                  <c:v>Tapanuli Selatan</c:v>
                </c:pt>
                <c:pt idx="8">
                  <c:v>Tapanuli Tengah</c:v>
                </c:pt>
                <c:pt idx="9">
                  <c:v>Toba</c:v>
                </c:pt>
              </c:strCache>
            </c:strRef>
          </c:cat>
          <c:val>
            <c:numRef>
              <c:f>Sheet1!$B$4:$B$14</c:f>
              <c:numCache>
                <c:formatCode>General</c:formatCode>
                <c:ptCount val="10"/>
                <c:pt idx="0">
                  <c:v>25309</c:v>
                </c:pt>
                <c:pt idx="1">
                  <c:v>81463</c:v>
                </c:pt>
                <c:pt idx="2">
                  <c:v>22583</c:v>
                </c:pt>
                <c:pt idx="3">
                  <c:v>57629</c:v>
                </c:pt>
                <c:pt idx="4">
                  <c:v>36520</c:v>
                </c:pt>
                <c:pt idx="5">
                  <c:v>4398</c:v>
                </c:pt>
                <c:pt idx="6">
                  <c:v>58427</c:v>
                </c:pt>
                <c:pt idx="7">
                  <c:v>13966</c:v>
                </c:pt>
                <c:pt idx="8">
                  <c:v>28455</c:v>
                </c:pt>
                <c:pt idx="9">
                  <c:v>22174</c:v>
                </c:pt>
              </c:numCache>
            </c:numRef>
          </c:val>
          <c:smooth val="0"/>
          <c:extLst>
            <c:ext xmlns:c16="http://schemas.microsoft.com/office/drawing/2014/chart" uri="{C3380CC4-5D6E-409C-BE32-E72D297353CC}">
              <c16:uniqueId val="{00000000-A5C0-4A69-9580-11E013DB3DFB}"/>
            </c:ext>
          </c:extLst>
        </c:ser>
        <c:ser>
          <c:idx val="1"/>
          <c:order val="1"/>
          <c:tx>
            <c:strRef>
              <c:f>Sheet1!$C$3</c:f>
              <c:strCache>
                <c:ptCount val="1"/>
                <c:pt idx="0">
                  <c:v>Sum of LPG</c:v>
                </c:pt>
              </c:strCache>
            </c:strRef>
          </c:tx>
          <c:spPr>
            <a:ln w="28575" cap="rnd">
              <a:solidFill>
                <a:srgbClr val="FFCE33"/>
              </a:solidFill>
              <a:round/>
            </a:ln>
            <a:effectLst/>
          </c:spPr>
          <c:marker>
            <c:symbol val="circle"/>
            <c:size val="5"/>
            <c:spPr>
              <a:solidFill>
                <a:srgbClr val="FFCE33"/>
              </a:solidFill>
              <a:ln w="9525">
                <a:solidFill>
                  <a:srgbClr val="FFCE33"/>
                </a:solidFill>
              </a:ln>
              <a:effectLst/>
            </c:spPr>
          </c:marker>
          <c:cat>
            <c:strRef>
              <c:f>Sheet1!$A$4:$A$14</c:f>
              <c:strCache>
                <c:ptCount val="10"/>
                <c:pt idx="0">
                  <c:v> Tapanuli Utara</c:v>
                </c:pt>
                <c:pt idx="1">
                  <c:v>Asahan</c:v>
                </c:pt>
                <c:pt idx="2">
                  <c:v>Dairi</c:v>
                </c:pt>
                <c:pt idx="3">
                  <c:v>Labuhanbatu</c:v>
                </c:pt>
                <c:pt idx="4">
                  <c:v>Mandailing Natal</c:v>
                </c:pt>
                <c:pt idx="5">
                  <c:v>Nias</c:v>
                </c:pt>
                <c:pt idx="6">
                  <c:v>Simalungun</c:v>
                </c:pt>
                <c:pt idx="7">
                  <c:v>Tapanuli Selatan</c:v>
                </c:pt>
                <c:pt idx="8">
                  <c:v>Tapanuli Tengah</c:v>
                </c:pt>
                <c:pt idx="9">
                  <c:v>Toba</c:v>
                </c:pt>
              </c:strCache>
            </c:strRef>
          </c:cat>
          <c:val>
            <c:numRef>
              <c:f>Sheet1!$C$4:$C$14</c:f>
              <c:numCache>
                <c:formatCode>General</c:formatCode>
                <c:ptCount val="10"/>
                <c:pt idx="0">
                  <c:v>8341</c:v>
                </c:pt>
                <c:pt idx="1">
                  <c:v>23671</c:v>
                </c:pt>
                <c:pt idx="2">
                  <c:v>8299</c:v>
                </c:pt>
                <c:pt idx="3">
                  <c:v>15826</c:v>
                </c:pt>
                <c:pt idx="4">
                  <c:v>8585</c:v>
                </c:pt>
                <c:pt idx="5">
                  <c:v>1490</c:v>
                </c:pt>
                <c:pt idx="6">
                  <c:v>29310</c:v>
                </c:pt>
                <c:pt idx="7">
                  <c:v>7607</c:v>
                </c:pt>
                <c:pt idx="8">
                  <c:v>7372</c:v>
                </c:pt>
                <c:pt idx="9">
                  <c:v>6408</c:v>
                </c:pt>
              </c:numCache>
            </c:numRef>
          </c:val>
          <c:smooth val="0"/>
          <c:extLst>
            <c:ext xmlns:c16="http://schemas.microsoft.com/office/drawing/2014/chart" uri="{C3380CC4-5D6E-409C-BE32-E72D297353CC}">
              <c16:uniqueId val="{00000001-A5C0-4A69-9580-11E013DB3DFB}"/>
            </c:ext>
          </c:extLst>
        </c:ser>
        <c:ser>
          <c:idx val="2"/>
          <c:order val="2"/>
          <c:tx>
            <c:strRef>
              <c:f>Sheet1!$D$3</c:f>
              <c:strCache>
                <c:ptCount val="1"/>
                <c:pt idx="0">
                  <c:v>Sum of Minyak Tanah</c:v>
                </c:pt>
              </c:strCache>
            </c:strRef>
          </c:tx>
          <c:spPr>
            <a:ln w="28575" cap="rnd">
              <a:solidFill>
                <a:srgbClr val="C24229"/>
              </a:solidFill>
              <a:round/>
            </a:ln>
            <a:effectLst/>
          </c:spPr>
          <c:marker>
            <c:symbol val="circle"/>
            <c:size val="5"/>
            <c:spPr>
              <a:solidFill>
                <a:srgbClr val="C24229"/>
              </a:solidFill>
              <a:ln w="9525">
                <a:solidFill>
                  <a:srgbClr val="C24229"/>
                </a:solidFill>
              </a:ln>
              <a:effectLst/>
            </c:spPr>
          </c:marker>
          <c:cat>
            <c:strRef>
              <c:f>Sheet1!$A$4:$A$14</c:f>
              <c:strCache>
                <c:ptCount val="10"/>
                <c:pt idx="0">
                  <c:v> Tapanuli Utara</c:v>
                </c:pt>
                <c:pt idx="1">
                  <c:v>Asahan</c:v>
                </c:pt>
                <c:pt idx="2">
                  <c:v>Dairi</c:v>
                </c:pt>
                <c:pt idx="3">
                  <c:v>Labuhanbatu</c:v>
                </c:pt>
                <c:pt idx="4">
                  <c:v>Mandailing Natal</c:v>
                </c:pt>
                <c:pt idx="5">
                  <c:v>Nias</c:v>
                </c:pt>
                <c:pt idx="6">
                  <c:v>Simalungun</c:v>
                </c:pt>
                <c:pt idx="7">
                  <c:v>Tapanuli Selatan</c:v>
                </c:pt>
                <c:pt idx="8">
                  <c:v>Tapanuli Tengah</c:v>
                </c:pt>
                <c:pt idx="9">
                  <c:v>Toba</c:v>
                </c:pt>
              </c:strCache>
            </c:strRef>
          </c:cat>
          <c:val>
            <c:numRef>
              <c:f>Sheet1!$D$4:$D$14</c:f>
              <c:numCache>
                <c:formatCode>General</c:formatCode>
                <c:ptCount val="10"/>
                <c:pt idx="0">
                  <c:v>0</c:v>
                </c:pt>
                <c:pt idx="1">
                  <c:v>0</c:v>
                </c:pt>
                <c:pt idx="2">
                  <c:v>0</c:v>
                </c:pt>
                <c:pt idx="3">
                  <c:v>0</c:v>
                </c:pt>
                <c:pt idx="4">
                  <c:v>15</c:v>
                </c:pt>
                <c:pt idx="5">
                  <c:v>0</c:v>
                </c:pt>
                <c:pt idx="6">
                  <c:v>0</c:v>
                </c:pt>
                <c:pt idx="7">
                  <c:v>0</c:v>
                </c:pt>
                <c:pt idx="8">
                  <c:v>0</c:v>
                </c:pt>
                <c:pt idx="9">
                  <c:v>0</c:v>
                </c:pt>
              </c:numCache>
            </c:numRef>
          </c:val>
          <c:smooth val="0"/>
          <c:extLst>
            <c:ext xmlns:c16="http://schemas.microsoft.com/office/drawing/2014/chart" uri="{C3380CC4-5D6E-409C-BE32-E72D297353CC}">
              <c16:uniqueId val="{00000002-A5C0-4A69-9580-11E013DB3DFB}"/>
            </c:ext>
          </c:extLst>
        </c:ser>
        <c:ser>
          <c:idx val="3"/>
          <c:order val="3"/>
          <c:tx>
            <c:strRef>
              <c:f>Sheet1!$E$3</c:f>
              <c:strCache>
                <c:ptCount val="1"/>
                <c:pt idx="0">
                  <c:v>Sum of Biosolar</c:v>
                </c:pt>
              </c:strCache>
            </c:strRef>
          </c:tx>
          <c:spPr>
            <a:ln w="28575" cap="rnd">
              <a:solidFill>
                <a:srgbClr val="854621"/>
              </a:solidFill>
              <a:round/>
            </a:ln>
            <a:effectLst/>
          </c:spPr>
          <c:marker>
            <c:symbol val="circle"/>
            <c:size val="5"/>
            <c:spPr>
              <a:solidFill>
                <a:srgbClr val="854621"/>
              </a:solidFill>
              <a:ln w="9525">
                <a:solidFill>
                  <a:srgbClr val="854621"/>
                </a:solidFill>
              </a:ln>
              <a:effectLst/>
            </c:spPr>
          </c:marker>
          <c:cat>
            <c:strRef>
              <c:f>Sheet1!$A$4:$A$14</c:f>
              <c:strCache>
                <c:ptCount val="10"/>
                <c:pt idx="0">
                  <c:v> Tapanuli Utara</c:v>
                </c:pt>
                <c:pt idx="1">
                  <c:v>Asahan</c:v>
                </c:pt>
                <c:pt idx="2">
                  <c:v>Dairi</c:v>
                </c:pt>
                <c:pt idx="3">
                  <c:v>Labuhanbatu</c:v>
                </c:pt>
                <c:pt idx="4">
                  <c:v>Mandailing Natal</c:v>
                </c:pt>
                <c:pt idx="5">
                  <c:v>Nias</c:v>
                </c:pt>
                <c:pt idx="6">
                  <c:v>Simalungun</c:v>
                </c:pt>
                <c:pt idx="7">
                  <c:v>Tapanuli Selatan</c:v>
                </c:pt>
                <c:pt idx="8">
                  <c:v>Tapanuli Tengah</c:v>
                </c:pt>
                <c:pt idx="9">
                  <c:v>Toba</c:v>
                </c:pt>
              </c:strCache>
            </c:strRef>
          </c:cat>
          <c:val>
            <c:numRef>
              <c:f>Sheet1!$E$4:$E$14</c:f>
              <c:numCache>
                <c:formatCode>General</c:formatCode>
                <c:ptCount val="10"/>
                <c:pt idx="0">
                  <c:v>27024</c:v>
                </c:pt>
                <c:pt idx="1">
                  <c:v>50053</c:v>
                </c:pt>
                <c:pt idx="2">
                  <c:v>13488</c:v>
                </c:pt>
                <c:pt idx="3">
                  <c:v>49452</c:v>
                </c:pt>
                <c:pt idx="4">
                  <c:v>23336</c:v>
                </c:pt>
                <c:pt idx="5">
                  <c:v>1096</c:v>
                </c:pt>
                <c:pt idx="6">
                  <c:v>40215</c:v>
                </c:pt>
                <c:pt idx="7">
                  <c:v>13304</c:v>
                </c:pt>
                <c:pt idx="8">
                  <c:v>24880</c:v>
                </c:pt>
                <c:pt idx="9">
                  <c:v>20091</c:v>
                </c:pt>
              </c:numCache>
            </c:numRef>
          </c:val>
          <c:smooth val="0"/>
          <c:extLst>
            <c:ext xmlns:c16="http://schemas.microsoft.com/office/drawing/2014/chart" uri="{C3380CC4-5D6E-409C-BE32-E72D297353CC}">
              <c16:uniqueId val="{00000003-A5C0-4A69-9580-11E013DB3DFB}"/>
            </c:ext>
          </c:extLst>
        </c:ser>
        <c:dLbls>
          <c:showLegendKey val="0"/>
          <c:showVal val="0"/>
          <c:showCatName val="0"/>
          <c:showSerName val="0"/>
          <c:showPercent val="0"/>
          <c:showBubbleSize val="0"/>
        </c:dLbls>
        <c:marker val="1"/>
        <c:smooth val="0"/>
        <c:axId val="282871311"/>
        <c:axId val="282898671"/>
      </c:lineChart>
      <c:catAx>
        <c:axId val="28287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erlin Sans FB" panose="020E0602020502020306" pitchFamily="34" charset="0"/>
                <a:ea typeface="+mn-ea"/>
                <a:cs typeface="+mn-cs"/>
              </a:defRPr>
            </a:pPr>
            <a:endParaRPr lang="en-US"/>
          </a:p>
        </c:txPr>
        <c:crossAx val="282898671"/>
        <c:crosses val="autoZero"/>
        <c:auto val="1"/>
        <c:lblAlgn val="ctr"/>
        <c:lblOffset val="100"/>
        <c:noMultiLvlLbl val="0"/>
      </c:catAx>
      <c:valAx>
        <c:axId val="282898671"/>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en-US"/>
          </a:p>
        </c:txPr>
        <c:crossAx val="282871311"/>
        <c:crosses val="autoZero"/>
        <c:crossBetween val="between"/>
      </c:valAx>
      <c:spPr>
        <a:noFill/>
        <a:ln>
          <a:noFill/>
        </a:ln>
        <a:effectLst/>
      </c:spPr>
    </c:plotArea>
    <c:legend>
      <c:legendPos val="r"/>
      <c:layout>
        <c:manualLayout>
          <c:xMode val="edge"/>
          <c:yMode val="edge"/>
          <c:x val="0.78944741244401273"/>
          <c:y val="0.35413076897010698"/>
          <c:w val="0.1985990163559993"/>
          <c:h val="0.4305617548476237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Berlin Sans FB" panose="020E0602020502020306"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solidFill>
        <a:srgbClr val="E1DCC9"/>
      </a:solidFill>
      <a:prstDash val="lgDash"/>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D" sz="1200" b="1">
                <a:solidFill>
                  <a:sysClr val="windowText" lastClr="000000"/>
                </a:solidFill>
                <a:latin typeface="Times New Roman" panose="02020603050405020304" pitchFamily="18" charset="0"/>
                <a:cs typeface="Times New Roman" panose="02020603050405020304" pitchFamily="18" charset="0"/>
              </a:rPr>
              <a:t>Dotplot</a:t>
            </a:r>
            <a:r>
              <a:rPr lang="en-ID" sz="1200" b="1" baseline="0">
                <a:solidFill>
                  <a:sysClr val="windowText" lastClr="000000"/>
                </a:solidFill>
                <a:latin typeface="Times New Roman" panose="02020603050405020304" pitchFamily="18" charset="0"/>
                <a:cs typeface="Times New Roman" panose="02020603050405020304" pitchFamily="18" charset="0"/>
              </a:rPr>
              <a:t> Jumlah Penyaluran Bahan Bakar Minyak Menurut Jenis dan Kabupaten (Kiloliter) di Provinsi Sumatera Utara Tahun 2022</a:t>
            </a:r>
            <a:endParaRPr lang="en-ID" sz="1200"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ID"/>
        </a:p>
      </c:txPr>
    </c:title>
    <c:autoTitleDeleted val="0"/>
    <c:plotArea>
      <c:layout/>
      <c:scatterChart>
        <c:scatterStyle val="lineMarker"/>
        <c:varyColors val="0"/>
        <c:ser>
          <c:idx val="0"/>
          <c:order val="0"/>
          <c:tx>
            <c:strRef>
              <c:f>'Ringkasan Numerik'!$B$3</c:f>
              <c:strCache>
                <c:ptCount val="1"/>
                <c:pt idx="0">
                  <c:v>Premium</c:v>
                </c:pt>
              </c:strCache>
            </c:strRef>
          </c:tx>
          <c:spPr>
            <a:ln w="19050" cap="rnd">
              <a:noFill/>
              <a:round/>
            </a:ln>
            <a:effectLst/>
          </c:spPr>
          <c:marker>
            <c:symbol val="circle"/>
            <c:size val="5"/>
            <c:spPr>
              <a:solidFill>
                <a:schemeClr val="accent1"/>
              </a:solidFill>
              <a:ln w="9525">
                <a:solidFill>
                  <a:schemeClr val="accent1"/>
                </a:solidFill>
              </a:ln>
              <a:effectLst/>
            </c:spPr>
          </c:marker>
          <c:xVal>
            <c:strRef>
              <c:f>'Ringkasan Numerik'!$A$4:$A$13</c:f>
              <c:strCache>
                <c:ptCount val="10"/>
                <c:pt idx="0">
                  <c:v>Nias</c:v>
                </c:pt>
                <c:pt idx="1">
                  <c:v>Mandailing Natal</c:v>
                </c:pt>
                <c:pt idx="2">
                  <c:v>Tapanuli Selatan</c:v>
                </c:pt>
                <c:pt idx="3">
                  <c:v>Tapanuli Tengah</c:v>
                </c:pt>
                <c:pt idx="4">
                  <c:v> Tapanuli Utara</c:v>
                </c:pt>
                <c:pt idx="5">
                  <c:v>Toba</c:v>
                </c:pt>
                <c:pt idx="6">
                  <c:v>Labuhanbatu</c:v>
                </c:pt>
                <c:pt idx="7">
                  <c:v>Asahan</c:v>
                </c:pt>
                <c:pt idx="8">
                  <c:v>Simalungun</c:v>
                </c:pt>
                <c:pt idx="9">
                  <c:v>Dairi</c:v>
                </c:pt>
              </c:strCache>
            </c:strRef>
          </c:xVal>
          <c:yVal>
            <c:numRef>
              <c:f>'Ringkasan Numerik'!$B$4:$B$13</c:f>
              <c:numCache>
                <c:formatCode>#,##0</c:formatCode>
                <c:ptCount val="10"/>
                <c:pt idx="0">
                  <c:v>4398</c:v>
                </c:pt>
                <c:pt idx="1">
                  <c:v>36520</c:v>
                </c:pt>
                <c:pt idx="2">
                  <c:v>13966</c:v>
                </c:pt>
                <c:pt idx="3">
                  <c:v>28455</c:v>
                </c:pt>
                <c:pt idx="4">
                  <c:v>25309</c:v>
                </c:pt>
                <c:pt idx="5">
                  <c:v>22174</c:v>
                </c:pt>
                <c:pt idx="6">
                  <c:v>57629</c:v>
                </c:pt>
                <c:pt idx="7">
                  <c:v>81463</c:v>
                </c:pt>
                <c:pt idx="8">
                  <c:v>58427</c:v>
                </c:pt>
                <c:pt idx="9">
                  <c:v>22583</c:v>
                </c:pt>
              </c:numCache>
            </c:numRef>
          </c:yVal>
          <c:smooth val="0"/>
          <c:extLst>
            <c:ext xmlns:c16="http://schemas.microsoft.com/office/drawing/2014/chart" uri="{C3380CC4-5D6E-409C-BE32-E72D297353CC}">
              <c16:uniqueId val="{00000000-C4AC-4D5E-9602-2D5B09EB28D7}"/>
            </c:ext>
          </c:extLst>
        </c:ser>
        <c:ser>
          <c:idx val="1"/>
          <c:order val="1"/>
          <c:tx>
            <c:strRef>
              <c:f>'Ringkasan Numerik'!$C$3</c:f>
              <c:strCache>
                <c:ptCount val="1"/>
                <c:pt idx="0">
                  <c:v>Biosolar</c:v>
                </c:pt>
              </c:strCache>
            </c:strRef>
          </c:tx>
          <c:spPr>
            <a:ln w="19050" cap="rnd">
              <a:noFill/>
              <a:round/>
            </a:ln>
            <a:effectLst/>
          </c:spPr>
          <c:marker>
            <c:symbol val="circle"/>
            <c:size val="5"/>
            <c:spPr>
              <a:solidFill>
                <a:schemeClr val="accent2"/>
              </a:solidFill>
              <a:ln w="9525">
                <a:solidFill>
                  <a:schemeClr val="accent2"/>
                </a:solidFill>
              </a:ln>
              <a:effectLst/>
            </c:spPr>
          </c:marker>
          <c:xVal>
            <c:strRef>
              <c:f>'Ringkasan Numerik'!$A$4:$A$13</c:f>
              <c:strCache>
                <c:ptCount val="10"/>
                <c:pt idx="0">
                  <c:v>Nias</c:v>
                </c:pt>
                <c:pt idx="1">
                  <c:v>Mandailing Natal</c:v>
                </c:pt>
                <c:pt idx="2">
                  <c:v>Tapanuli Selatan</c:v>
                </c:pt>
                <c:pt idx="3">
                  <c:v>Tapanuli Tengah</c:v>
                </c:pt>
                <c:pt idx="4">
                  <c:v> Tapanuli Utara</c:v>
                </c:pt>
                <c:pt idx="5">
                  <c:v>Toba</c:v>
                </c:pt>
                <c:pt idx="6">
                  <c:v>Labuhanbatu</c:v>
                </c:pt>
                <c:pt idx="7">
                  <c:v>Asahan</c:v>
                </c:pt>
                <c:pt idx="8">
                  <c:v>Simalungun</c:v>
                </c:pt>
                <c:pt idx="9">
                  <c:v>Dairi</c:v>
                </c:pt>
              </c:strCache>
            </c:strRef>
          </c:xVal>
          <c:yVal>
            <c:numRef>
              <c:f>'Ringkasan Numerik'!$C$4:$C$13</c:f>
              <c:numCache>
                <c:formatCode>#,##0</c:formatCode>
                <c:ptCount val="10"/>
                <c:pt idx="0">
                  <c:v>1096</c:v>
                </c:pt>
                <c:pt idx="1">
                  <c:v>23336</c:v>
                </c:pt>
                <c:pt idx="2">
                  <c:v>13304</c:v>
                </c:pt>
                <c:pt idx="3">
                  <c:v>24880</c:v>
                </c:pt>
                <c:pt idx="4">
                  <c:v>27024</c:v>
                </c:pt>
                <c:pt idx="5">
                  <c:v>20091</c:v>
                </c:pt>
                <c:pt idx="6">
                  <c:v>49452</c:v>
                </c:pt>
                <c:pt idx="7">
                  <c:v>50053</c:v>
                </c:pt>
                <c:pt idx="8">
                  <c:v>40215</c:v>
                </c:pt>
                <c:pt idx="9">
                  <c:v>13488</c:v>
                </c:pt>
              </c:numCache>
            </c:numRef>
          </c:yVal>
          <c:smooth val="0"/>
          <c:extLst>
            <c:ext xmlns:c16="http://schemas.microsoft.com/office/drawing/2014/chart" uri="{C3380CC4-5D6E-409C-BE32-E72D297353CC}">
              <c16:uniqueId val="{00000001-C4AC-4D5E-9602-2D5B09EB28D7}"/>
            </c:ext>
          </c:extLst>
        </c:ser>
        <c:ser>
          <c:idx val="2"/>
          <c:order val="2"/>
          <c:tx>
            <c:strRef>
              <c:f>'Ringkasan Numerik'!$D$3</c:f>
              <c:strCache>
                <c:ptCount val="1"/>
                <c:pt idx="0">
                  <c:v>Minyak Tanah</c:v>
                </c:pt>
              </c:strCache>
            </c:strRef>
          </c:tx>
          <c:spPr>
            <a:ln w="19050" cap="rnd">
              <a:noFill/>
              <a:round/>
            </a:ln>
            <a:effectLst/>
          </c:spPr>
          <c:marker>
            <c:symbol val="circle"/>
            <c:size val="5"/>
            <c:spPr>
              <a:solidFill>
                <a:schemeClr val="accent3"/>
              </a:solidFill>
              <a:ln w="9525">
                <a:solidFill>
                  <a:schemeClr val="accent3"/>
                </a:solidFill>
              </a:ln>
              <a:effectLst/>
            </c:spPr>
          </c:marker>
          <c:xVal>
            <c:strRef>
              <c:f>'Ringkasan Numerik'!$A$4:$A$13</c:f>
              <c:strCache>
                <c:ptCount val="10"/>
                <c:pt idx="0">
                  <c:v>Nias</c:v>
                </c:pt>
                <c:pt idx="1">
                  <c:v>Mandailing Natal</c:v>
                </c:pt>
                <c:pt idx="2">
                  <c:v>Tapanuli Selatan</c:v>
                </c:pt>
                <c:pt idx="3">
                  <c:v>Tapanuli Tengah</c:v>
                </c:pt>
                <c:pt idx="4">
                  <c:v> Tapanuli Utara</c:v>
                </c:pt>
                <c:pt idx="5">
                  <c:v>Toba</c:v>
                </c:pt>
                <c:pt idx="6">
                  <c:v>Labuhanbatu</c:v>
                </c:pt>
                <c:pt idx="7">
                  <c:v>Asahan</c:v>
                </c:pt>
                <c:pt idx="8">
                  <c:v>Simalungun</c:v>
                </c:pt>
                <c:pt idx="9">
                  <c:v>Dairi</c:v>
                </c:pt>
              </c:strCache>
            </c:strRef>
          </c:xVal>
          <c:yVal>
            <c:numRef>
              <c:f>'Ringkasan Numerik'!$D$4:$D$13</c:f>
              <c:numCache>
                <c:formatCode>#,##0</c:formatCode>
                <c:ptCount val="10"/>
                <c:pt idx="0">
                  <c:v>0</c:v>
                </c:pt>
                <c:pt idx="1">
                  <c:v>15</c:v>
                </c:pt>
                <c:pt idx="2">
                  <c:v>0</c:v>
                </c:pt>
                <c:pt idx="3">
                  <c:v>0</c:v>
                </c:pt>
                <c:pt idx="4">
                  <c:v>0</c:v>
                </c:pt>
                <c:pt idx="5">
                  <c:v>0</c:v>
                </c:pt>
                <c:pt idx="6">
                  <c:v>0</c:v>
                </c:pt>
                <c:pt idx="7">
                  <c:v>0</c:v>
                </c:pt>
                <c:pt idx="8">
                  <c:v>0</c:v>
                </c:pt>
                <c:pt idx="9">
                  <c:v>0</c:v>
                </c:pt>
              </c:numCache>
            </c:numRef>
          </c:yVal>
          <c:smooth val="0"/>
          <c:extLst>
            <c:ext xmlns:c16="http://schemas.microsoft.com/office/drawing/2014/chart" uri="{C3380CC4-5D6E-409C-BE32-E72D297353CC}">
              <c16:uniqueId val="{00000002-C4AC-4D5E-9602-2D5B09EB28D7}"/>
            </c:ext>
          </c:extLst>
        </c:ser>
        <c:ser>
          <c:idx val="3"/>
          <c:order val="3"/>
          <c:tx>
            <c:strRef>
              <c:f>'Ringkasan Numerik'!$E$3</c:f>
              <c:strCache>
                <c:ptCount val="1"/>
                <c:pt idx="0">
                  <c:v>LPG</c:v>
                </c:pt>
              </c:strCache>
            </c:strRef>
          </c:tx>
          <c:spPr>
            <a:ln w="19050" cap="rnd">
              <a:noFill/>
              <a:round/>
            </a:ln>
            <a:effectLst/>
          </c:spPr>
          <c:marker>
            <c:symbol val="circle"/>
            <c:size val="5"/>
            <c:spPr>
              <a:solidFill>
                <a:schemeClr val="accent4"/>
              </a:solidFill>
              <a:ln w="9525">
                <a:solidFill>
                  <a:schemeClr val="accent4"/>
                </a:solidFill>
              </a:ln>
              <a:effectLst/>
            </c:spPr>
          </c:marker>
          <c:xVal>
            <c:strRef>
              <c:f>'Ringkasan Numerik'!$A$4:$A$13</c:f>
              <c:strCache>
                <c:ptCount val="10"/>
                <c:pt idx="0">
                  <c:v>Nias</c:v>
                </c:pt>
                <c:pt idx="1">
                  <c:v>Mandailing Natal</c:v>
                </c:pt>
                <c:pt idx="2">
                  <c:v>Tapanuli Selatan</c:v>
                </c:pt>
                <c:pt idx="3">
                  <c:v>Tapanuli Tengah</c:v>
                </c:pt>
                <c:pt idx="4">
                  <c:v> Tapanuli Utara</c:v>
                </c:pt>
                <c:pt idx="5">
                  <c:v>Toba</c:v>
                </c:pt>
                <c:pt idx="6">
                  <c:v>Labuhanbatu</c:v>
                </c:pt>
                <c:pt idx="7">
                  <c:v>Asahan</c:v>
                </c:pt>
                <c:pt idx="8">
                  <c:v>Simalungun</c:v>
                </c:pt>
                <c:pt idx="9">
                  <c:v>Dairi</c:v>
                </c:pt>
              </c:strCache>
            </c:strRef>
          </c:xVal>
          <c:yVal>
            <c:numRef>
              <c:f>'Ringkasan Numerik'!$E$4:$E$13</c:f>
              <c:numCache>
                <c:formatCode>#,##0</c:formatCode>
                <c:ptCount val="10"/>
                <c:pt idx="0">
                  <c:v>1490</c:v>
                </c:pt>
                <c:pt idx="1">
                  <c:v>8585</c:v>
                </c:pt>
                <c:pt idx="2">
                  <c:v>7607</c:v>
                </c:pt>
                <c:pt idx="3">
                  <c:v>7372</c:v>
                </c:pt>
                <c:pt idx="4">
                  <c:v>8341</c:v>
                </c:pt>
                <c:pt idx="5">
                  <c:v>6408</c:v>
                </c:pt>
                <c:pt idx="6">
                  <c:v>15826</c:v>
                </c:pt>
                <c:pt idx="7">
                  <c:v>23671</c:v>
                </c:pt>
                <c:pt idx="8">
                  <c:v>29310</c:v>
                </c:pt>
                <c:pt idx="9">
                  <c:v>8299</c:v>
                </c:pt>
              </c:numCache>
            </c:numRef>
          </c:yVal>
          <c:smooth val="0"/>
          <c:extLst>
            <c:ext xmlns:c16="http://schemas.microsoft.com/office/drawing/2014/chart" uri="{C3380CC4-5D6E-409C-BE32-E72D297353CC}">
              <c16:uniqueId val="{00000003-C4AC-4D5E-9602-2D5B09EB28D7}"/>
            </c:ext>
          </c:extLst>
        </c:ser>
        <c:dLbls>
          <c:showLegendKey val="0"/>
          <c:showVal val="0"/>
          <c:showCatName val="0"/>
          <c:showSerName val="0"/>
          <c:showPercent val="0"/>
          <c:showBubbleSize val="0"/>
        </c:dLbls>
        <c:axId val="1669035968"/>
        <c:axId val="1900180080"/>
      </c:scatterChart>
      <c:valAx>
        <c:axId val="16690359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D" b="1">
                    <a:solidFill>
                      <a:sysClr val="windowText" lastClr="000000"/>
                    </a:solidFill>
                  </a:rPr>
                  <a:t>Jenis</a:t>
                </a:r>
                <a:r>
                  <a:rPr lang="en-ID" b="1" baseline="0">
                    <a:solidFill>
                      <a:sysClr val="windowText" lastClr="000000"/>
                    </a:solidFill>
                  </a:rPr>
                  <a:t> Bahan Bakar</a:t>
                </a:r>
                <a:endParaRPr lang="en-ID"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ID"/>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180080"/>
        <c:crosses val="autoZero"/>
        <c:crossBetween val="midCat"/>
      </c:valAx>
      <c:valAx>
        <c:axId val="1900180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D" b="1">
                    <a:solidFill>
                      <a:sysClr val="windowText" lastClr="000000"/>
                    </a:solidFill>
                  </a:rPr>
                  <a:t>Kiloliter</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en-US"/>
          </a:p>
        </c:txPr>
        <c:crossAx val="16690359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EVIDATA-CASE STUDY.xlsx]Sheet1!PivotTable55</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cap="none" spc="0" normalizeH="0" baseline="0">
                <a:solidFill>
                  <a:sysClr val="windowText" lastClr="000000">
                    <a:lumMod val="65000"/>
                    <a:lumOff val="35000"/>
                  </a:sysClr>
                </a:solidFill>
                <a:latin typeface="+mj-lt"/>
                <a:ea typeface="+mj-ea"/>
                <a:cs typeface="+mj-cs"/>
              </a:defRPr>
            </a:pPr>
            <a:r>
              <a:rPr lang="en-ID" sz="1400" b="1" i="0" baseline="0">
                <a:solidFill>
                  <a:sysClr val="windowText" lastClr="000000"/>
                </a:solidFill>
                <a:effectLst/>
                <a:latin typeface="Times New Roman" panose="02020603050405020304" pitchFamily="18" charset="0"/>
                <a:cs typeface="Times New Roman" panose="02020603050405020304" pitchFamily="18" charset="0"/>
              </a:rPr>
              <a:t>Jumlah Penyaluran Bahan Bakar Minyak Menurut Jenis dan Kabupaten (Kiloliter) di Provinsi Sumatera Utara Tahun 2022</a:t>
            </a:r>
            <a:endParaRPr lang="en-ID" sz="1600">
              <a:solidFill>
                <a:sysClr val="windowText" lastClr="000000"/>
              </a:solidFill>
              <a:effectLst/>
              <a:latin typeface="Times New Roman" panose="02020603050405020304" pitchFamily="18" charset="0"/>
              <a:cs typeface="Times New Roman" panose="02020603050405020304" pitchFamily="18"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D"/>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cap="none" spc="0" normalizeH="0" baseline="0">
              <a:solidFill>
                <a:sysClr val="windowText" lastClr="000000">
                  <a:lumMod val="65000"/>
                  <a:lumOff val="35000"/>
                </a:sysClr>
              </a:solidFill>
              <a:latin typeface="+mj-lt"/>
              <a:ea typeface="+mj-ea"/>
              <a:cs typeface="+mj-cs"/>
            </a:defRPr>
          </a:pPr>
          <a:endParaRPr lang="en-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Sum of Premium</c:v>
                </c:pt>
              </c:strCache>
            </c:strRef>
          </c:tx>
          <c:spPr>
            <a:solidFill>
              <a:schemeClr val="accent2"/>
            </a:solidFill>
            <a:ln>
              <a:noFill/>
            </a:ln>
            <a:effectLst/>
            <a:sp3d/>
          </c:spPr>
          <c:invertIfNegative val="0"/>
          <c:cat>
            <c:strRef>
              <c:f>Sheet1!$A$4:$A$14</c:f>
              <c:strCache>
                <c:ptCount val="10"/>
                <c:pt idx="0">
                  <c:v> Tapanuli Utara</c:v>
                </c:pt>
                <c:pt idx="1">
                  <c:v>Asahan</c:v>
                </c:pt>
                <c:pt idx="2">
                  <c:v>Dairi</c:v>
                </c:pt>
                <c:pt idx="3">
                  <c:v>Labuhanbatu</c:v>
                </c:pt>
                <c:pt idx="4">
                  <c:v>Mandailing Natal</c:v>
                </c:pt>
                <c:pt idx="5">
                  <c:v>Nias</c:v>
                </c:pt>
                <c:pt idx="6">
                  <c:v>Simalungun</c:v>
                </c:pt>
                <c:pt idx="7">
                  <c:v>Tapanuli Selatan</c:v>
                </c:pt>
                <c:pt idx="8">
                  <c:v>Tapanuli Tengah</c:v>
                </c:pt>
                <c:pt idx="9">
                  <c:v>Toba</c:v>
                </c:pt>
              </c:strCache>
            </c:strRef>
          </c:cat>
          <c:val>
            <c:numRef>
              <c:f>Sheet1!$B$4:$B$14</c:f>
              <c:numCache>
                <c:formatCode>General</c:formatCode>
                <c:ptCount val="10"/>
                <c:pt idx="0">
                  <c:v>25309</c:v>
                </c:pt>
                <c:pt idx="1">
                  <c:v>81463</c:v>
                </c:pt>
                <c:pt idx="2">
                  <c:v>22583</c:v>
                </c:pt>
                <c:pt idx="3">
                  <c:v>57629</c:v>
                </c:pt>
                <c:pt idx="4">
                  <c:v>36520</c:v>
                </c:pt>
                <c:pt idx="5">
                  <c:v>4398</c:v>
                </c:pt>
                <c:pt idx="6">
                  <c:v>58427</c:v>
                </c:pt>
                <c:pt idx="7">
                  <c:v>13966</c:v>
                </c:pt>
                <c:pt idx="8">
                  <c:v>28455</c:v>
                </c:pt>
                <c:pt idx="9">
                  <c:v>22174</c:v>
                </c:pt>
              </c:numCache>
            </c:numRef>
          </c:val>
          <c:extLst>
            <c:ext xmlns:c16="http://schemas.microsoft.com/office/drawing/2014/chart" uri="{C3380CC4-5D6E-409C-BE32-E72D297353CC}">
              <c16:uniqueId val="{00000005-490A-4C30-A34F-C81984945F54}"/>
            </c:ext>
          </c:extLst>
        </c:ser>
        <c:ser>
          <c:idx val="1"/>
          <c:order val="1"/>
          <c:tx>
            <c:strRef>
              <c:f>Sheet1!$C$3</c:f>
              <c:strCache>
                <c:ptCount val="1"/>
                <c:pt idx="0">
                  <c:v>Sum of LPG</c:v>
                </c:pt>
              </c:strCache>
            </c:strRef>
          </c:tx>
          <c:spPr>
            <a:solidFill>
              <a:schemeClr val="accent4"/>
            </a:solidFill>
            <a:ln>
              <a:noFill/>
            </a:ln>
            <a:effectLst/>
            <a:sp3d/>
          </c:spPr>
          <c:invertIfNegative val="0"/>
          <c:cat>
            <c:strRef>
              <c:f>Sheet1!$A$4:$A$14</c:f>
              <c:strCache>
                <c:ptCount val="10"/>
                <c:pt idx="0">
                  <c:v> Tapanuli Utara</c:v>
                </c:pt>
                <c:pt idx="1">
                  <c:v>Asahan</c:v>
                </c:pt>
                <c:pt idx="2">
                  <c:v>Dairi</c:v>
                </c:pt>
                <c:pt idx="3">
                  <c:v>Labuhanbatu</c:v>
                </c:pt>
                <c:pt idx="4">
                  <c:v>Mandailing Natal</c:v>
                </c:pt>
                <c:pt idx="5">
                  <c:v>Nias</c:v>
                </c:pt>
                <c:pt idx="6">
                  <c:v>Simalungun</c:v>
                </c:pt>
                <c:pt idx="7">
                  <c:v>Tapanuli Selatan</c:v>
                </c:pt>
                <c:pt idx="8">
                  <c:v>Tapanuli Tengah</c:v>
                </c:pt>
                <c:pt idx="9">
                  <c:v>Toba</c:v>
                </c:pt>
              </c:strCache>
            </c:strRef>
          </c:cat>
          <c:val>
            <c:numRef>
              <c:f>Sheet1!$C$4:$C$14</c:f>
              <c:numCache>
                <c:formatCode>General</c:formatCode>
                <c:ptCount val="10"/>
                <c:pt idx="0">
                  <c:v>8341</c:v>
                </c:pt>
                <c:pt idx="1">
                  <c:v>23671</c:v>
                </c:pt>
                <c:pt idx="2">
                  <c:v>8299</c:v>
                </c:pt>
                <c:pt idx="3">
                  <c:v>15826</c:v>
                </c:pt>
                <c:pt idx="4">
                  <c:v>8585</c:v>
                </c:pt>
                <c:pt idx="5">
                  <c:v>1490</c:v>
                </c:pt>
                <c:pt idx="6">
                  <c:v>29310</c:v>
                </c:pt>
                <c:pt idx="7">
                  <c:v>7607</c:v>
                </c:pt>
                <c:pt idx="8">
                  <c:v>7372</c:v>
                </c:pt>
                <c:pt idx="9">
                  <c:v>6408</c:v>
                </c:pt>
              </c:numCache>
            </c:numRef>
          </c:val>
          <c:extLst>
            <c:ext xmlns:c16="http://schemas.microsoft.com/office/drawing/2014/chart" uri="{C3380CC4-5D6E-409C-BE32-E72D297353CC}">
              <c16:uniqueId val="{00000006-490A-4C30-A34F-C81984945F54}"/>
            </c:ext>
          </c:extLst>
        </c:ser>
        <c:ser>
          <c:idx val="2"/>
          <c:order val="2"/>
          <c:tx>
            <c:strRef>
              <c:f>Sheet1!$D$3</c:f>
              <c:strCache>
                <c:ptCount val="1"/>
                <c:pt idx="0">
                  <c:v>Sum of Minyak Tanah</c:v>
                </c:pt>
              </c:strCache>
            </c:strRef>
          </c:tx>
          <c:spPr>
            <a:solidFill>
              <a:schemeClr val="accent6"/>
            </a:solidFill>
            <a:ln>
              <a:noFill/>
            </a:ln>
            <a:effectLst/>
            <a:sp3d/>
          </c:spPr>
          <c:invertIfNegative val="0"/>
          <c:cat>
            <c:strRef>
              <c:f>Sheet1!$A$4:$A$14</c:f>
              <c:strCache>
                <c:ptCount val="10"/>
                <c:pt idx="0">
                  <c:v> Tapanuli Utara</c:v>
                </c:pt>
                <c:pt idx="1">
                  <c:v>Asahan</c:v>
                </c:pt>
                <c:pt idx="2">
                  <c:v>Dairi</c:v>
                </c:pt>
                <c:pt idx="3">
                  <c:v>Labuhanbatu</c:v>
                </c:pt>
                <c:pt idx="4">
                  <c:v>Mandailing Natal</c:v>
                </c:pt>
                <c:pt idx="5">
                  <c:v>Nias</c:v>
                </c:pt>
                <c:pt idx="6">
                  <c:v>Simalungun</c:v>
                </c:pt>
                <c:pt idx="7">
                  <c:v>Tapanuli Selatan</c:v>
                </c:pt>
                <c:pt idx="8">
                  <c:v>Tapanuli Tengah</c:v>
                </c:pt>
                <c:pt idx="9">
                  <c:v>Toba</c:v>
                </c:pt>
              </c:strCache>
            </c:strRef>
          </c:cat>
          <c:val>
            <c:numRef>
              <c:f>Sheet1!$D$4:$D$14</c:f>
              <c:numCache>
                <c:formatCode>General</c:formatCode>
                <c:ptCount val="10"/>
                <c:pt idx="0">
                  <c:v>0</c:v>
                </c:pt>
                <c:pt idx="1">
                  <c:v>0</c:v>
                </c:pt>
                <c:pt idx="2">
                  <c:v>0</c:v>
                </c:pt>
                <c:pt idx="3">
                  <c:v>0</c:v>
                </c:pt>
                <c:pt idx="4">
                  <c:v>15</c:v>
                </c:pt>
                <c:pt idx="5">
                  <c:v>0</c:v>
                </c:pt>
                <c:pt idx="6">
                  <c:v>0</c:v>
                </c:pt>
                <c:pt idx="7">
                  <c:v>0</c:v>
                </c:pt>
                <c:pt idx="8">
                  <c:v>0</c:v>
                </c:pt>
                <c:pt idx="9">
                  <c:v>0</c:v>
                </c:pt>
              </c:numCache>
            </c:numRef>
          </c:val>
          <c:extLst>
            <c:ext xmlns:c16="http://schemas.microsoft.com/office/drawing/2014/chart" uri="{C3380CC4-5D6E-409C-BE32-E72D297353CC}">
              <c16:uniqueId val="{00000007-490A-4C30-A34F-C81984945F54}"/>
            </c:ext>
          </c:extLst>
        </c:ser>
        <c:ser>
          <c:idx val="3"/>
          <c:order val="3"/>
          <c:tx>
            <c:strRef>
              <c:f>Sheet1!$E$3</c:f>
              <c:strCache>
                <c:ptCount val="1"/>
                <c:pt idx="0">
                  <c:v>Sum of Biosolar</c:v>
                </c:pt>
              </c:strCache>
            </c:strRef>
          </c:tx>
          <c:spPr>
            <a:solidFill>
              <a:schemeClr val="accent2">
                <a:lumMod val="60000"/>
              </a:schemeClr>
            </a:solidFill>
            <a:ln>
              <a:noFill/>
            </a:ln>
            <a:effectLst/>
            <a:sp3d/>
          </c:spPr>
          <c:invertIfNegative val="0"/>
          <c:cat>
            <c:strRef>
              <c:f>Sheet1!$A$4:$A$14</c:f>
              <c:strCache>
                <c:ptCount val="10"/>
                <c:pt idx="0">
                  <c:v> Tapanuli Utara</c:v>
                </c:pt>
                <c:pt idx="1">
                  <c:v>Asahan</c:v>
                </c:pt>
                <c:pt idx="2">
                  <c:v>Dairi</c:v>
                </c:pt>
                <c:pt idx="3">
                  <c:v>Labuhanbatu</c:v>
                </c:pt>
                <c:pt idx="4">
                  <c:v>Mandailing Natal</c:v>
                </c:pt>
                <c:pt idx="5">
                  <c:v>Nias</c:v>
                </c:pt>
                <c:pt idx="6">
                  <c:v>Simalungun</c:v>
                </c:pt>
                <c:pt idx="7">
                  <c:v>Tapanuli Selatan</c:v>
                </c:pt>
                <c:pt idx="8">
                  <c:v>Tapanuli Tengah</c:v>
                </c:pt>
                <c:pt idx="9">
                  <c:v>Toba</c:v>
                </c:pt>
              </c:strCache>
            </c:strRef>
          </c:cat>
          <c:val>
            <c:numRef>
              <c:f>Sheet1!$E$4:$E$14</c:f>
              <c:numCache>
                <c:formatCode>General</c:formatCode>
                <c:ptCount val="10"/>
                <c:pt idx="0">
                  <c:v>27024</c:v>
                </c:pt>
                <c:pt idx="1">
                  <c:v>50053</c:v>
                </c:pt>
                <c:pt idx="2">
                  <c:v>13488</c:v>
                </c:pt>
                <c:pt idx="3">
                  <c:v>49452</c:v>
                </c:pt>
                <c:pt idx="4">
                  <c:v>23336</c:v>
                </c:pt>
                <c:pt idx="5">
                  <c:v>1096</c:v>
                </c:pt>
                <c:pt idx="6">
                  <c:v>40215</c:v>
                </c:pt>
                <c:pt idx="7">
                  <c:v>13304</c:v>
                </c:pt>
                <c:pt idx="8">
                  <c:v>24880</c:v>
                </c:pt>
                <c:pt idx="9">
                  <c:v>20091</c:v>
                </c:pt>
              </c:numCache>
            </c:numRef>
          </c:val>
          <c:extLst>
            <c:ext xmlns:c16="http://schemas.microsoft.com/office/drawing/2014/chart" uri="{C3380CC4-5D6E-409C-BE32-E72D297353CC}">
              <c16:uniqueId val="{00000008-490A-4C30-A34F-C81984945F54}"/>
            </c:ext>
          </c:extLst>
        </c:ser>
        <c:dLbls>
          <c:showLegendKey val="0"/>
          <c:showVal val="0"/>
          <c:showCatName val="0"/>
          <c:showSerName val="0"/>
          <c:showPercent val="0"/>
          <c:showBubbleSize val="0"/>
        </c:dLbls>
        <c:gapWidth val="150"/>
        <c:shape val="box"/>
        <c:axId val="1731985840"/>
        <c:axId val="1896337456"/>
        <c:axId val="0"/>
      </c:bar3DChart>
      <c:catAx>
        <c:axId val="1731985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cap="none" spc="0" normalizeH="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896337456"/>
        <c:crosses val="autoZero"/>
        <c:auto val="1"/>
        <c:lblAlgn val="ctr"/>
        <c:lblOffset val="100"/>
        <c:noMultiLvlLbl val="0"/>
      </c:catAx>
      <c:valAx>
        <c:axId val="189633745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en-US"/>
          </a:p>
        </c:txPr>
        <c:crossAx val="173198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D" sz="1200" b="1" i="0" baseline="0">
                <a:solidFill>
                  <a:sysClr val="windowText" lastClr="000000"/>
                </a:solidFill>
                <a:effectLst/>
                <a:latin typeface="Times New Roman" panose="02020603050405020304" pitchFamily="18" charset="0"/>
                <a:cs typeface="Times New Roman" panose="02020603050405020304" pitchFamily="18" charset="0"/>
              </a:rPr>
              <a:t>Dotplot Jumlah Penyaluran Bahan Bakar Minyak Menurut Jenis dan Kabupaten (Kiloliter) di Provinsi Sumatera Utara Tahun 2022</a:t>
            </a:r>
            <a:endParaRPr lang="en-ID" sz="1050" b="1">
              <a:solidFill>
                <a:sysClr val="windowText" lastClr="000000"/>
              </a:solidFill>
              <a:effectLst/>
              <a:latin typeface="Times New Roman" panose="02020603050405020304" pitchFamily="18" charset="0"/>
              <a:cs typeface="Times New Roman" panose="02020603050405020304" pitchFamily="18"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D"/>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D"/>
        </a:p>
      </c:txPr>
    </c:title>
    <c:autoTitleDeleted val="0"/>
    <c:plotArea>
      <c:layout/>
      <c:scatterChart>
        <c:scatterStyle val="lineMarker"/>
        <c:varyColors val="0"/>
        <c:ser>
          <c:idx val="0"/>
          <c:order val="0"/>
          <c:tx>
            <c:strRef>
              <c:f>STANDARISASI!$L$2</c:f>
              <c:strCache>
                <c:ptCount val="1"/>
                <c:pt idx="0">
                  <c:v>Biosolar</c:v>
                </c:pt>
              </c:strCache>
            </c:strRef>
          </c:tx>
          <c:spPr>
            <a:ln w="19050" cap="rnd">
              <a:noFill/>
              <a:round/>
            </a:ln>
            <a:effectLst/>
          </c:spPr>
          <c:marker>
            <c:symbol val="circle"/>
            <c:size val="5"/>
            <c:spPr>
              <a:solidFill>
                <a:schemeClr val="accent1"/>
              </a:solidFill>
              <a:ln w="9525">
                <a:solidFill>
                  <a:schemeClr val="accent1"/>
                </a:solidFill>
              </a:ln>
              <a:effectLst/>
            </c:spPr>
          </c:marker>
          <c:xVal>
            <c:numRef>
              <c:f>STANDARISASI!$K$3:$K$12</c:f>
              <c:numCache>
                <c:formatCode>#,##0.00</c:formatCode>
                <c:ptCount val="10"/>
                <c:pt idx="0">
                  <c:v>-0.29175371439693765</c:v>
                </c:pt>
                <c:pt idx="1">
                  <c:v>0.1250632582884578</c:v>
                </c:pt>
                <c:pt idx="2">
                  <c:v>-0.16759878025043795</c:v>
                </c:pt>
                <c:pt idx="3">
                  <c:v>2.0411341075715305E-2</c:v>
                </c:pt>
                <c:pt idx="4">
                  <c:v>-2.0411341075715305E-2</c:v>
                </c:pt>
                <c:pt idx="5">
                  <c:v>-6.1091286576266786E-2</c:v>
                </c:pt>
                <c:pt idx="6">
                  <c:v>0.39897489132550445</c:v>
                </c:pt>
                <c:pt idx="7">
                  <c:v>0.70824628560306235</c:v>
                </c:pt>
                <c:pt idx="8">
                  <c:v>0.40932978654382662</c:v>
                </c:pt>
                <c:pt idx="9">
                  <c:v>-5.5784078375397395E-2</c:v>
                </c:pt>
              </c:numCache>
            </c:numRef>
          </c:xVal>
          <c:yVal>
            <c:numRef>
              <c:f>STANDARISASI!$L$3:$L$12</c:f>
              <c:numCache>
                <c:formatCode>#,##0.00</c:formatCode>
                <c:ptCount val="10"/>
                <c:pt idx="0">
                  <c:v>-0.47004514165492167</c:v>
                </c:pt>
                <c:pt idx="1">
                  <c:v>-1.5768940090283311E-2</c:v>
                </c:pt>
                <c:pt idx="2">
                  <c:v>-0.22068345691116695</c:v>
                </c:pt>
                <c:pt idx="3">
                  <c:v>1.5768940090283311E-2</c:v>
                </c:pt>
                <c:pt idx="4">
                  <c:v>5.9562473190759239E-2</c:v>
                </c:pt>
                <c:pt idx="5">
                  <c:v>-8.2051596298792814E-2</c:v>
                </c:pt>
                <c:pt idx="6">
                  <c:v>0.51767877933696915</c:v>
                </c:pt>
                <c:pt idx="7">
                  <c:v>0.52995485834507838</c:v>
                </c:pt>
                <c:pt idx="8">
                  <c:v>0.3290030026349654</c:v>
                </c:pt>
                <c:pt idx="9">
                  <c:v>-0.21692505668239476</c:v>
                </c:pt>
              </c:numCache>
            </c:numRef>
          </c:yVal>
          <c:smooth val="0"/>
          <c:extLst>
            <c:ext xmlns:c16="http://schemas.microsoft.com/office/drawing/2014/chart" uri="{C3380CC4-5D6E-409C-BE32-E72D297353CC}">
              <c16:uniqueId val="{00000000-DE36-4372-9174-B97CC321F50B}"/>
            </c:ext>
          </c:extLst>
        </c:ser>
        <c:ser>
          <c:idx val="1"/>
          <c:order val="1"/>
          <c:tx>
            <c:strRef>
              <c:f>STANDARISASI!$M$2</c:f>
              <c:strCache>
                <c:ptCount val="1"/>
                <c:pt idx="0">
                  <c:v>Minyak Tanah</c:v>
                </c:pt>
              </c:strCache>
            </c:strRef>
          </c:tx>
          <c:spPr>
            <a:ln w="19050" cap="rnd">
              <a:noFill/>
              <a:round/>
            </a:ln>
            <a:effectLst/>
          </c:spPr>
          <c:marker>
            <c:symbol val="circle"/>
            <c:size val="5"/>
            <c:spPr>
              <a:solidFill>
                <a:schemeClr val="accent2"/>
              </a:solidFill>
              <a:ln w="9525">
                <a:solidFill>
                  <a:schemeClr val="accent2"/>
                </a:solidFill>
              </a:ln>
              <a:effectLst/>
            </c:spPr>
          </c:marker>
          <c:xVal>
            <c:numRef>
              <c:f>STANDARISASI!$K$3:$K$12</c:f>
              <c:numCache>
                <c:formatCode>#,##0.00</c:formatCode>
                <c:ptCount val="10"/>
                <c:pt idx="0">
                  <c:v>-0.29175371439693765</c:v>
                </c:pt>
                <c:pt idx="1">
                  <c:v>0.1250632582884578</c:v>
                </c:pt>
                <c:pt idx="2">
                  <c:v>-0.16759878025043795</c:v>
                </c:pt>
                <c:pt idx="3">
                  <c:v>2.0411341075715305E-2</c:v>
                </c:pt>
                <c:pt idx="4">
                  <c:v>-2.0411341075715305E-2</c:v>
                </c:pt>
                <c:pt idx="5">
                  <c:v>-6.1091286576266786E-2</c:v>
                </c:pt>
                <c:pt idx="6">
                  <c:v>0.39897489132550445</c:v>
                </c:pt>
                <c:pt idx="7">
                  <c:v>0.70824628560306235</c:v>
                </c:pt>
                <c:pt idx="8">
                  <c:v>0.40932978654382662</c:v>
                </c:pt>
                <c:pt idx="9">
                  <c:v>-5.5784078375397395E-2</c:v>
                </c:pt>
              </c:numCache>
            </c:numRef>
          </c:xVal>
          <c:yVal>
            <c:numRef>
              <c:f>STANDARISASI!$M$3:$M$12</c:f>
              <c:numCache>
                <c:formatCode>#,##0.00</c:formatCode>
                <c:ptCount val="10"/>
                <c:pt idx="0">
                  <c:v>0</c:v>
                </c:pt>
                <c:pt idx="1">
                  <c:v>1</c:v>
                </c:pt>
                <c:pt idx="2">
                  <c:v>0</c:v>
                </c:pt>
                <c:pt idx="3">
                  <c:v>0</c:v>
                </c:pt>
                <c:pt idx="4">
                  <c:v>0</c:v>
                </c:pt>
                <c:pt idx="5">
                  <c:v>0</c:v>
                </c:pt>
                <c:pt idx="6">
                  <c:v>0</c:v>
                </c:pt>
                <c:pt idx="7">
                  <c:v>0</c:v>
                </c:pt>
                <c:pt idx="8">
                  <c:v>0</c:v>
                </c:pt>
                <c:pt idx="9">
                  <c:v>0</c:v>
                </c:pt>
              </c:numCache>
            </c:numRef>
          </c:yVal>
          <c:smooth val="0"/>
          <c:extLst>
            <c:ext xmlns:c16="http://schemas.microsoft.com/office/drawing/2014/chart" uri="{C3380CC4-5D6E-409C-BE32-E72D297353CC}">
              <c16:uniqueId val="{00000001-DE36-4372-9174-B97CC321F50B}"/>
            </c:ext>
          </c:extLst>
        </c:ser>
        <c:ser>
          <c:idx val="2"/>
          <c:order val="2"/>
          <c:tx>
            <c:strRef>
              <c:f>STANDARISASI!$N$2</c:f>
              <c:strCache>
                <c:ptCount val="1"/>
                <c:pt idx="0">
                  <c:v>LPG</c:v>
                </c:pt>
              </c:strCache>
            </c:strRef>
          </c:tx>
          <c:spPr>
            <a:ln w="19050" cap="rnd">
              <a:noFill/>
              <a:round/>
            </a:ln>
            <a:effectLst/>
          </c:spPr>
          <c:marker>
            <c:symbol val="circle"/>
            <c:size val="5"/>
            <c:spPr>
              <a:solidFill>
                <a:schemeClr val="accent3"/>
              </a:solidFill>
              <a:ln w="9525">
                <a:solidFill>
                  <a:schemeClr val="accent3"/>
                </a:solidFill>
              </a:ln>
              <a:effectLst/>
            </c:spPr>
          </c:marker>
          <c:xVal>
            <c:numRef>
              <c:f>STANDARISASI!$K$3:$K$12</c:f>
              <c:numCache>
                <c:formatCode>#,##0.00</c:formatCode>
                <c:ptCount val="10"/>
                <c:pt idx="0">
                  <c:v>-0.29175371439693765</c:v>
                </c:pt>
                <c:pt idx="1">
                  <c:v>0.1250632582884578</c:v>
                </c:pt>
                <c:pt idx="2">
                  <c:v>-0.16759878025043795</c:v>
                </c:pt>
                <c:pt idx="3">
                  <c:v>2.0411341075715305E-2</c:v>
                </c:pt>
                <c:pt idx="4">
                  <c:v>-2.0411341075715305E-2</c:v>
                </c:pt>
                <c:pt idx="5">
                  <c:v>-6.1091286576266786E-2</c:v>
                </c:pt>
                <c:pt idx="6">
                  <c:v>0.39897489132550445</c:v>
                </c:pt>
                <c:pt idx="7">
                  <c:v>0.70824628560306235</c:v>
                </c:pt>
                <c:pt idx="8">
                  <c:v>0.40932978654382662</c:v>
                </c:pt>
                <c:pt idx="9">
                  <c:v>-5.5784078375397395E-2</c:v>
                </c:pt>
              </c:numCache>
            </c:numRef>
          </c:xVal>
          <c:yVal>
            <c:numRef>
              <c:f>STANDARISASI!$N$3:$N$12</c:f>
              <c:numCache>
                <c:formatCode>#,##0.00</c:formatCode>
                <c:ptCount val="10"/>
                <c:pt idx="0">
                  <c:v>-0.24550682961897916</c:v>
                </c:pt>
                <c:pt idx="1">
                  <c:v>9.5255212077641985E-3</c:v>
                </c:pt>
                <c:pt idx="2">
                  <c:v>-2.5629043853342918E-2</c:v>
                </c:pt>
                <c:pt idx="3">
                  <c:v>-3.4076204169662117E-2</c:v>
                </c:pt>
                <c:pt idx="4">
                  <c:v>7.5485262401150249E-4</c:v>
                </c:pt>
                <c:pt idx="5">
                  <c:v>-6.872753414809489E-2</c:v>
                </c:pt>
                <c:pt idx="6">
                  <c:v>0.26980589503953989</c:v>
                </c:pt>
                <c:pt idx="7">
                  <c:v>0.55179726815240837</c:v>
                </c:pt>
                <c:pt idx="8">
                  <c:v>0.75449317038102082</c:v>
                </c:pt>
                <c:pt idx="9">
                  <c:v>-7.5485262401150249E-4</c:v>
                </c:pt>
              </c:numCache>
            </c:numRef>
          </c:yVal>
          <c:smooth val="0"/>
          <c:extLst>
            <c:ext xmlns:c16="http://schemas.microsoft.com/office/drawing/2014/chart" uri="{C3380CC4-5D6E-409C-BE32-E72D297353CC}">
              <c16:uniqueId val="{00000002-DE36-4372-9174-B97CC321F50B}"/>
            </c:ext>
          </c:extLst>
        </c:ser>
        <c:dLbls>
          <c:showLegendKey val="0"/>
          <c:showVal val="0"/>
          <c:showCatName val="0"/>
          <c:showSerName val="0"/>
          <c:showPercent val="0"/>
          <c:showBubbleSize val="0"/>
        </c:dLbls>
        <c:axId val="1311537903"/>
        <c:axId val="1311539343"/>
      </c:scatterChart>
      <c:valAx>
        <c:axId val="131153790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539343"/>
        <c:crosses val="autoZero"/>
        <c:crossBetween val="midCat"/>
      </c:valAx>
      <c:valAx>
        <c:axId val="13115393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53790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359580316534959E-4"/>
          <c:y val="0.53355867101978105"/>
          <c:w val="0.66760883337858634"/>
          <c:h val="0.46475815523059627"/>
        </c:manualLayout>
      </c:layout>
      <c:lineChart>
        <c:grouping val="stacked"/>
        <c:varyColors val="0"/>
        <c:ser>
          <c:idx val="0"/>
          <c:order val="0"/>
          <c:tx>
            <c:strRef>
              <c:f>DATA!$B$2</c:f>
              <c:strCache>
                <c:ptCount val="1"/>
                <c:pt idx="0">
                  <c:v>Premium</c:v>
                </c:pt>
              </c:strCache>
            </c:strRef>
          </c:tx>
          <c:spPr>
            <a:ln w="28575" cap="rnd">
              <a:solidFill>
                <a:srgbClr val="BFAEA4"/>
              </a:solidFill>
              <a:round/>
            </a:ln>
            <a:effectLst/>
          </c:spPr>
          <c:marker>
            <c:symbol val="circle"/>
            <c:size val="5"/>
            <c:spPr>
              <a:solidFill>
                <a:schemeClr val="bg1"/>
              </a:solidFill>
              <a:ln w="9525">
                <a:noFill/>
              </a:ln>
              <a:effectLst/>
            </c:spPr>
          </c:marker>
          <c:cat>
            <c:strRef>
              <c:f>DATA!$A$3:$A$12</c:f>
              <c:strCache>
                <c:ptCount val="10"/>
                <c:pt idx="0">
                  <c:v>Nias</c:v>
                </c:pt>
                <c:pt idx="1">
                  <c:v>Mandailing Natal</c:v>
                </c:pt>
                <c:pt idx="2">
                  <c:v>Tapanuli Selatan</c:v>
                </c:pt>
                <c:pt idx="3">
                  <c:v>Tapanuli Tengah</c:v>
                </c:pt>
                <c:pt idx="4">
                  <c:v>Tapanuli Utara</c:v>
                </c:pt>
                <c:pt idx="5">
                  <c:v>Toba</c:v>
                </c:pt>
                <c:pt idx="6">
                  <c:v>Labuhanbatu</c:v>
                </c:pt>
                <c:pt idx="7">
                  <c:v>Asahan</c:v>
                </c:pt>
                <c:pt idx="8">
                  <c:v>Simalungun</c:v>
                </c:pt>
                <c:pt idx="9">
                  <c:v>Dairi</c:v>
                </c:pt>
              </c:strCache>
            </c:strRef>
          </c:cat>
          <c:val>
            <c:numRef>
              <c:f>DATA!$B$3:$B$12</c:f>
              <c:numCache>
                <c:formatCode>General</c:formatCode>
                <c:ptCount val="10"/>
                <c:pt idx="0">
                  <c:v>4398</c:v>
                </c:pt>
                <c:pt idx="1">
                  <c:v>36520</c:v>
                </c:pt>
                <c:pt idx="2">
                  <c:v>13966</c:v>
                </c:pt>
                <c:pt idx="3">
                  <c:v>28455</c:v>
                </c:pt>
                <c:pt idx="4">
                  <c:v>25309</c:v>
                </c:pt>
                <c:pt idx="5">
                  <c:v>22174</c:v>
                </c:pt>
                <c:pt idx="6">
                  <c:v>57629</c:v>
                </c:pt>
                <c:pt idx="7">
                  <c:v>81463</c:v>
                </c:pt>
                <c:pt idx="8">
                  <c:v>58427</c:v>
                </c:pt>
                <c:pt idx="9">
                  <c:v>22583</c:v>
                </c:pt>
              </c:numCache>
            </c:numRef>
          </c:val>
          <c:smooth val="0"/>
          <c:extLst>
            <c:ext xmlns:c16="http://schemas.microsoft.com/office/drawing/2014/chart" uri="{C3380CC4-5D6E-409C-BE32-E72D297353CC}">
              <c16:uniqueId val="{00000000-85AF-4BCE-A25B-909BADD0B2B5}"/>
            </c:ext>
          </c:extLst>
        </c:ser>
        <c:dLbls>
          <c:showLegendKey val="0"/>
          <c:showVal val="0"/>
          <c:showCatName val="0"/>
          <c:showSerName val="0"/>
          <c:showPercent val="0"/>
          <c:showBubbleSize val="0"/>
        </c:dLbls>
        <c:marker val="1"/>
        <c:smooth val="0"/>
        <c:axId val="1596633759"/>
        <c:axId val="1596633279"/>
      </c:lineChart>
      <c:catAx>
        <c:axId val="1596633759"/>
        <c:scaling>
          <c:orientation val="minMax"/>
        </c:scaling>
        <c:delete val="1"/>
        <c:axPos val="b"/>
        <c:numFmt formatCode="General" sourceLinked="1"/>
        <c:majorTickMark val="none"/>
        <c:minorTickMark val="none"/>
        <c:tickLblPos val="nextTo"/>
        <c:crossAx val="1596633279"/>
        <c:crosses val="autoZero"/>
        <c:auto val="1"/>
        <c:lblAlgn val="ctr"/>
        <c:lblOffset val="100"/>
        <c:noMultiLvlLbl val="0"/>
      </c:catAx>
      <c:valAx>
        <c:axId val="1596633279"/>
        <c:scaling>
          <c:orientation val="minMax"/>
        </c:scaling>
        <c:delete val="1"/>
        <c:axPos val="l"/>
        <c:numFmt formatCode="General" sourceLinked="1"/>
        <c:majorTickMark val="none"/>
        <c:minorTickMark val="none"/>
        <c:tickLblPos val="nextTo"/>
        <c:crossAx val="159663375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703757958437429E-3"/>
          <c:y val="0.21143562474833572"/>
          <c:w val="0.81434599156118148"/>
          <c:h val="0.73493975903614461"/>
        </c:manualLayout>
      </c:layout>
      <c:lineChart>
        <c:grouping val="standard"/>
        <c:varyColors val="0"/>
        <c:ser>
          <c:idx val="0"/>
          <c:order val="0"/>
          <c:tx>
            <c:strRef>
              <c:f>DATA!$C$2</c:f>
              <c:strCache>
                <c:ptCount val="1"/>
                <c:pt idx="0">
                  <c:v>Biosolar</c:v>
                </c:pt>
              </c:strCache>
            </c:strRef>
          </c:tx>
          <c:spPr>
            <a:ln w="28575" cap="rnd">
              <a:solidFill>
                <a:srgbClr val="BFAEA4"/>
              </a:solidFill>
              <a:round/>
            </a:ln>
            <a:effectLst/>
          </c:spPr>
          <c:marker>
            <c:symbol val="circle"/>
            <c:size val="5"/>
            <c:spPr>
              <a:solidFill>
                <a:schemeClr val="bg1"/>
              </a:solidFill>
              <a:ln w="9525">
                <a:noFill/>
              </a:ln>
              <a:effectLst/>
            </c:spPr>
          </c:marker>
          <c:val>
            <c:numRef>
              <c:f>DATA!$C$3:$C$12</c:f>
              <c:numCache>
                <c:formatCode>General</c:formatCode>
                <c:ptCount val="10"/>
                <c:pt idx="0">
                  <c:v>1096</c:v>
                </c:pt>
                <c:pt idx="1">
                  <c:v>23336</c:v>
                </c:pt>
                <c:pt idx="2">
                  <c:v>13304</c:v>
                </c:pt>
                <c:pt idx="3">
                  <c:v>24880</c:v>
                </c:pt>
                <c:pt idx="4">
                  <c:v>27024</c:v>
                </c:pt>
                <c:pt idx="5">
                  <c:v>20091</c:v>
                </c:pt>
                <c:pt idx="6">
                  <c:v>49452</c:v>
                </c:pt>
                <c:pt idx="7">
                  <c:v>50053</c:v>
                </c:pt>
                <c:pt idx="8">
                  <c:v>40215</c:v>
                </c:pt>
                <c:pt idx="9">
                  <c:v>13488</c:v>
                </c:pt>
              </c:numCache>
            </c:numRef>
          </c:val>
          <c:smooth val="0"/>
          <c:extLst>
            <c:ext xmlns:c16="http://schemas.microsoft.com/office/drawing/2014/chart" uri="{C3380CC4-5D6E-409C-BE32-E72D297353CC}">
              <c16:uniqueId val="{00000000-A129-456A-A318-FBAF591B70D5}"/>
            </c:ext>
          </c:extLst>
        </c:ser>
        <c:dLbls>
          <c:showLegendKey val="0"/>
          <c:showVal val="0"/>
          <c:showCatName val="0"/>
          <c:showSerName val="0"/>
          <c:showPercent val="0"/>
          <c:showBubbleSize val="0"/>
        </c:dLbls>
        <c:marker val="1"/>
        <c:smooth val="0"/>
        <c:axId val="446433839"/>
        <c:axId val="446431439"/>
      </c:lineChart>
      <c:catAx>
        <c:axId val="446433839"/>
        <c:scaling>
          <c:orientation val="minMax"/>
        </c:scaling>
        <c:delete val="1"/>
        <c:axPos val="b"/>
        <c:majorTickMark val="none"/>
        <c:minorTickMark val="none"/>
        <c:tickLblPos val="nextTo"/>
        <c:crossAx val="446431439"/>
        <c:crosses val="autoZero"/>
        <c:auto val="1"/>
        <c:lblAlgn val="ctr"/>
        <c:lblOffset val="100"/>
        <c:noMultiLvlLbl val="0"/>
      </c:catAx>
      <c:valAx>
        <c:axId val="446431439"/>
        <c:scaling>
          <c:orientation val="minMax"/>
        </c:scaling>
        <c:delete val="1"/>
        <c:axPos val="l"/>
        <c:numFmt formatCode="General" sourceLinked="1"/>
        <c:majorTickMark val="none"/>
        <c:minorTickMark val="none"/>
        <c:tickLblPos val="nextTo"/>
        <c:crossAx val="44643383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026185680278334"/>
          <c:y val="0.20865610899761128"/>
          <c:w val="0.77824717562478607"/>
          <c:h val="0.68290716949854957"/>
        </c:manualLayout>
      </c:layout>
      <c:lineChart>
        <c:grouping val="stacked"/>
        <c:varyColors val="0"/>
        <c:ser>
          <c:idx val="0"/>
          <c:order val="0"/>
          <c:spPr>
            <a:ln w="28575" cap="rnd">
              <a:solidFill>
                <a:srgbClr val="BFAEA4"/>
              </a:solidFill>
              <a:round/>
            </a:ln>
            <a:effectLst/>
          </c:spPr>
          <c:marker>
            <c:symbol val="circle"/>
            <c:size val="5"/>
            <c:spPr>
              <a:solidFill>
                <a:schemeClr val="bg1"/>
              </a:solidFill>
              <a:ln w="9525">
                <a:noFill/>
              </a:ln>
              <a:effectLst/>
            </c:spPr>
          </c:marker>
          <c:val>
            <c:numRef>
              <c:f>DATA!$D$3:$D$12</c:f>
              <c:numCache>
                <c:formatCode>General</c:formatCode>
                <c:ptCount val="10"/>
                <c:pt idx="0">
                  <c:v>0</c:v>
                </c:pt>
                <c:pt idx="1">
                  <c:v>15</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0-04AD-43EE-BB98-D09A86794717}"/>
            </c:ext>
          </c:extLst>
        </c:ser>
        <c:dLbls>
          <c:showLegendKey val="0"/>
          <c:showVal val="0"/>
          <c:showCatName val="0"/>
          <c:showSerName val="0"/>
          <c:showPercent val="0"/>
          <c:showBubbleSize val="0"/>
        </c:dLbls>
        <c:marker val="1"/>
        <c:smooth val="0"/>
        <c:axId val="45411311"/>
        <c:axId val="1357173823"/>
      </c:lineChart>
      <c:catAx>
        <c:axId val="45411311"/>
        <c:scaling>
          <c:orientation val="minMax"/>
        </c:scaling>
        <c:delete val="1"/>
        <c:axPos val="b"/>
        <c:majorTickMark val="none"/>
        <c:minorTickMark val="none"/>
        <c:tickLblPos val="nextTo"/>
        <c:crossAx val="1357173823"/>
        <c:crosses val="autoZero"/>
        <c:auto val="1"/>
        <c:lblAlgn val="ctr"/>
        <c:lblOffset val="100"/>
        <c:noMultiLvlLbl val="0"/>
      </c:catAx>
      <c:valAx>
        <c:axId val="1357173823"/>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4541131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753000535127294E-3"/>
          <c:y val="0.17526447429365447"/>
          <c:w val="0.88203753351206438"/>
          <c:h val="0.81196581196581197"/>
        </c:manualLayout>
      </c:layout>
      <c:lineChart>
        <c:grouping val="standard"/>
        <c:varyColors val="0"/>
        <c:ser>
          <c:idx val="0"/>
          <c:order val="0"/>
          <c:spPr>
            <a:ln w="28575" cap="rnd">
              <a:solidFill>
                <a:srgbClr val="BFAEA4"/>
              </a:solidFill>
              <a:round/>
            </a:ln>
            <a:effectLst/>
          </c:spPr>
          <c:marker>
            <c:symbol val="circle"/>
            <c:size val="5"/>
            <c:spPr>
              <a:solidFill>
                <a:schemeClr val="bg1"/>
              </a:solidFill>
              <a:ln w="9525">
                <a:noFill/>
              </a:ln>
              <a:effectLst/>
            </c:spPr>
          </c:marker>
          <c:val>
            <c:numRef>
              <c:f>DATA!$E$3:$E$12</c:f>
              <c:numCache>
                <c:formatCode>General</c:formatCode>
                <c:ptCount val="10"/>
                <c:pt idx="0">
                  <c:v>1490</c:v>
                </c:pt>
                <c:pt idx="1">
                  <c:v>8585</c:v>
                </c:pt>
                <c:pt idx="2">
                  <c:v>7607</c:v>
                </c:pt>
                <c:pt idx="3">
                  <c:v>7372</c:v>
                </c:pt>
                <c:pt idx="4">
                  <c:v>8341</c:v>
                </c:pt>
                <c:pt idx="5">
                  <c:v>6408</c:v>
                </c:pt>
                <c:pt idx="6">
                  <c:v>15826</c:v>
                </c:pt>
                <c:pt idx="7">
                  <c:v>23671</c:v>
                </c:pt>
                <c:pt idx="8">
                  <c:v>29310</c:v>
                </c:pt>
                <c:pt idx="9">
                  <c:v>8299</c:v>
                </c:pt>
              </c:numCache>
            </c:numRef>
          </c:val>
          <c:smooth val="0"/>
          <c:extLst>
            <c:ext xmlns:c16="http://schemas.microsoft.com/office/drawing/2014/chart" uri="{C3380CC4-5D6E-409C-BE32-E72D297353CC}">
              <c16:uniqueId val="{00000000-C6BD-4B92-B274-0397C59E0C99}"/>
            </c:ext>
          </c:extLst>
        </c:ser>
        <c:dLbls>
          <c:showLegendKey val="0"/>
          <c:showVal val="0"/>
          <c:showCatName val="0"/>
          <c:showSerName val="0"/>
          <c:showPercent val="0"/>
          <c:showBubbleSize val="0"/>
        </c:dLbls>
        <c:marker val="1"/>
        <c:smooth val="0"/>
        <c:axId val="439803903"/>
        <c:axId val="439804383"/>
      </c:lineChart>
      <c:catAx>
        <c:axId val="439803903"/>
        <c:scaling>
          <c:orientation val="minMax"/>
        </c:scaling>
        <c:delete val="1"/>
        <c:axPos val="b"/>
        <c:majorTickMark val="none"/>
        <c:minorTickMark val="none"/>
        <c:tickLblPos val="nextTo"/>
        <c:crossAx val="439804383"/>
        <c:crosses val="autoZero"/>
        <c:auto val="1"/>
        <c:lblAlgn val="ctr"/>
        <c:lblOffset val="100"/>
        <c:noMultiLvlLbl val="0"/>
      </c:catAx>
      <c:valAx>
        <c:axId val="439804383"/>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43980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EVIDATA-CASE STUDY.xlsx]pie!PivotTable55</c:name>
    <c:fmtId val="1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Penyebaran</a:t>
            </a:r>
            <a:r>
              <a:rPr lang="en-US" baseline="0"/>
              <a:t> bahan bakar minyak</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pie!$B$3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5FB-406E-B8AC-8589BC57D1D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5FB-406E-B8AC-8589BC57D1D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5FB-406E-B8AC-8589BC57D1D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5FB-406E-B8AC-8589BC57D1D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pie!$A$4:$A$7</c:f>
              <c:strCache>
                <c:ptCount val="4"/>
                <c:pt idx="0">
                  <c:v>Sum of Premium</c:v>
                </c:pt>
                <c:pt idx="1">
                  <c:v>Sum of LPG</c:v>
                </c:pt>
                <c:pt idx="2">
                  <c:v>Sum of Minyak Tanah</c:v>
                </c:pt>
                <c:pt idx="3">
                  <c:v>Sum of Biosolar</c:v>
                </c:pt>
              </c:strCache>
            </c:strRef>
          </c:cat>
          <c:val>
            <c:numRef>
              <c:f>pie!$B$4:$B$7</c:f>
              <c:numCache>
                <c:formatCode>General</c:formatCode>
                <c:ptCount val="4"/>
                <c:pt idx="0">
                  <c:v>350924</c:v>
                </c:pt>
                <c:pt idx="1">
                  <c:v>116909</c:v>
                </c:pt>
                <c:pt idx="2">
                  <c:v>15</c:v>
                </c:pt>
                <c:pt idx="3">
                  <c:v>262939</c:v>
                </c:pt>
              </c:numCache>
            </c:numRef>
          </c:val>
          <c:extLst>
            <c:ext xmlns:c16="http://schemas.microsoft.com/office/drawing/2014/chart" uri="{C3380CC4-5D6E-409C-BE32-E72D297353CC}">
              <c16:uniqueId val="{00000000-6B6E-4CB4-8BDB-8F187D102E4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EVIDATA-CASE STUDY.xlsx]Sheet1!PivotTable55</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Sum of Premium</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Sheet1!$A$4:$A$14</c:f>
              <c:strCache>
                <c:ptCount val="10"/>
                <c:pt idx="0">
                  <c:v> Tapanuli Utara</c:v>
                </c:pt>
                <c:pt idx="1">
                  <c:v>Asahan</c:v>
                </c:pt>
                <c:pt idx="2">
                  <c:v>Dairi</c:v>
                </c:pt>
                <c:pt idx="3">
                  <c:v>Labuhanbatu</c:v>
                </c:pt>
                <c:pt idx="4">
                  <c:v>Mandailing Natal</c:v>
                </c:pt>
                <c:pt idx="5">
                  <c:v>Nias</c:v>
                </c:pt>
                <c:pt idx="6">
                  <c:v>Simalungun</c:v>
                </c:pt>
                <c:pt idx="7">
                  <c:v>Tapanuli Selatan</c:v>
                </c:pt>
                <c:pt idx="8">
                  <c:v>Tapanuli Tengah</c:v>
                </c:pt>
                <c:pt idx="9">
                  <c:v>Toba</c:v>
                </c:pt>
              </c:strCache>
            </c:strRef>
          </c:cat>
          <c:val>
            <c:numRef>
              <c:f>Sheet1!$B$4:$B$14</c:f>
              <c:numCache>
                <c:formatCode>General</c:formatCode>
                <c:ptCount val="10"/>
                <c:pt idx="0">
                  <c:v>25309</c:v>
                </c:pt>
                <c:pt idx="1">
                  <c:v>81463</c:v>
                </c:pt>
                <c:pt idx="2">
                  <c:v>22583</c:v>
                </c:pt>
                <c:pt idx="3">
                  <c:v>57629</c:v>
                </c:pt>
                <c:pt idx="4">
                  <c:v>36520</c:v>
                </c:pt>
                <c:pt idx="5">
                  <c:v>4398</c:v>
                </c:pt>
                <c:pt idx="6">
                  <c:v>58427</c:v>
                </c:pt>
                <c:pt idx="7">
                  <c:v>13966</c:v>
                </c:pt>
                <c:pt idx="8">
                  <c:v>28455</c:v>
                </c:pt>
                <c:pt idx="9">
                  <c:v>22174</c:v>
                </c:pt>
              </c:numCache>
            </c:numRef>
          </c:val>
          <c:extLst>
            <c:ext xmlns:c16="http://schemas.microsoft.com/office/drawing/2014/chart" uri="{C3380CC4-5D6E-409C-BE32-E72D297353CC}">
              <c16:uniqueId val="{0000001C-ACF3-4EF4-A79C-703ECDDB1C86}"/>
            </c:ext>
          </c:extLst>
        </c:ser>
        <c:ser>
          <c:idx val="1"/>
          <c:order val="1"/>
          <c:tx>
            <c:strRef>
              <c:f>Sheet1!$C$3</c:f>
              <c:strCache>
                <c:ptCount val="1"/>
                <c:pt idx="0">
                  <c:v>Sum of LPG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Sheet1!$A$4:$A$14</c:f>
              <c:strCache>
                <c:ptCount val="10"/>
                <c:pt idx="0">
                  <c:v> Tapanuli Utara</c:v>
                </c:pt>
                <c:pt idx="1">
                  <c:v>Asahan</c:v>
                </c:pt>
                <c:pt idx="2">
                  <c:v>Dairi</c:v>
                </c:pt>
                <c:pt idx="3">
                  <c:v>Labuhanbatu</c:v>
                </c:pt>
                <c:pt idx="4">
                  <c:v>Mandailing Natal</c:v>
                </c:pt>
                <c:pt idx="5">
                  <c:v>Nias</c:v>
                </c:pt>
                <c:pt idx="6">
                  <c:v>Simalungun</c:v>
                </c:pt>
                <c:pt idx="7">
                  <c:v>Tapanuli Selatan</c:v>
                </c:pt>
                <c:pt idx="8">
                  <c:v>Tapanuli Tengah</c:v>
                </c:pt>
                <c:pt idx="9">
                  <c:v>Toba</c:v>
                </c:pt>
              </c:strCache>
            </c:strRef>
          </c:cat>
          <c:val>
            <c:numRef>
              <c:f>Sheet1!$C$4:$C$14</c:f>
              <c:numCache>
                <c:formatCode>General</c:formatCode>
                <c:ptCount val="10"/>
                <c:pt idx="0">
                  <c:v>8341</c:v>
                </c:pt>
                <c:pt idx="1">
                  <c:v>23671</c:v>
                </c:pt>
                <c:pt idx="2">
                  <c:v>8299</c:v>
                </c:pt>
                <c:pt idx="3">
                  <c:v>15826</c:v>
                </c:pt>
                <c:pt idx="4">
                  <c:v>8585</c:v>
                </c:pt>
                <c:pt idx="5">
                  <c:v>1490</c:v>
                </c:pt>
                <c:pt idx="6">
                  <c:v>29310</c:v>
                </c:pt>
                <c:pt idx="7">
                  <c:v>7607</c:v>
                </c:pt>
                <c:pt idx="8">
                  <c:v>7372</c:v>
                </c:pt>
                <c:pt idx="9">
                  <c:v>6408</c:v>
                </c:pt>
              </c:numCache>
            </c:numRef>
          </c:val>
          <c:extLst>
            <c:ext xmlns:c16="http://schemas.microsoft.com/office/drawing/2014/chart" uri="{C3380CC4-5D6E-409C-BE32-E72D297353CC}">
              <c16:uniqueId val="{0000001D-ACF3-4EF4-A79C-703ECDDB1C86}"/>
            </c:ext>
          </c:extLst>
        </c:ser>
        <c:ser>
          <c:idx val="2"/>
          <c:order val="2"/>
          <c:tx>
            <c:strRef>
              <c:f>Sheet1!$D$3</c:f>
              <c:strCache>
                <c:ptCount val="1"/>
                <c:pt idx="0">
                  <c:v>Sum of Minyak Tanah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Sheet1!$A$4:$A$14</c:f>
              <c:strCache>
                <c:ptCount val="10"/>
                <c:pt idx="0">
                  <c:v> Tapanuli Utara</c:v>
                </c:pt>
                <c:pt idx="1">
                  <c:v>Asahan</c:v>
                </c:pt>
                <c:pt idx="2">
                  <c:v>Dairi</c:v>
                </c:pt>
                <c:pt idx="3">
                  <c:v>Labuhanbatu</c:v>
                </c:pt>
                <c:pt idx="4">
                  <c:v>Mandailing Natal</c:v>
                </c:pt>
                <c:pt idx="5">
                  <c:v>Nias</c:v>
                </c:pt>
                <c:pt idx="6">
                  <c:v>Simalungun</c:v>
                </c:pt>
                <c:pt idx="7">
                  <c:v>Tapanuli Selatan</c:v>
                </c:pt>
                <c:pt idx="8">
                  <c:v>Tapanuli Tengah</c:v>
                </c:pt>
                <c:pt idx="9">
                  <c:v>Toba</c:v>
                </c:pt>
              </c:strCache>
            </c:strRef>
          </c:cat>
          <c:val>
            <c:numRef>
              <c:f>Sheet1!$D$4:$D$14</c:f>
              <c:numCache>
                <c:formatCode>General</c:formatCode>
                <c:ptCount val="10"/>
                <c:pt idx="0">
                  <c:v>0</c:v>
                </c:pt>
                <c:pt idx="1">
                  <c:v>0</c:v>
                </c:pt>
                <c:pt idx="2">
                  <c:v>0</c:v>
                </c:pt>
                <c:pt idx="3">
                  <c:v>0</c:v>
                </c:pt>
                <c:pt idx="4">
                  <c:v>15</c:v>
                </c:pt>
                <c:pt idx="5">
                  <c:v>0</c:v>
                </c:pt>
                <c:pt idx="6">
                  <c:v>0</c:v>
                </c:pt>
                <c:pt idx="7">
                  <c:v>0</c:v>
                </c:pt>
                <c:pt idx="8">
                  <c:v>0</c:v>
                </c:pt>
                <c:pt idx="9">
                  <c:v>0</c:v>
                </c:pt>
              </c:numCache>
            </c:numRef>
          </c:val>
          <c:extLst>
            <c:ext xmlns:c16="http://schemas.microsoft.com/office/drawing/2014/chart" uri="{C3380CC4-5D6E-409C-BE32-E72D297353CC}">
              <c16:uniqueId val="{0000001E-ACF3-4EF4-A79C-703ECDDB1C86}"/>
            </c:ext>
          </c:extLst>
        </c:ser>
        <c:ser>
          <c:idx val="3"/>
          <c:order val="3"/>
          <c:tx>
            <c:strRef>
              <c:f>Sheet1!$E$3</c:f>
              <c:strCache>
                <c:ptCount val="1"/>
                <c:pt idx="0">
                  <c:v>Sum of Biosolar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Sheet1!$A$4:$A$14</c:f>
              <c:strCache>
                <c:ptCount val="10"/>
                <c:pt idx="0">
                  <c:v> Tapanuli Utara</c:v>
                </c:pt>
                <c:pt idx="1">
                  <c:v>Asahan</c:v>
                </c:pt>
                <c:pt idx="2">
                  <c:v>Dairi</c:v>
                </c:pt>
                <c:pt idx="3">
                  <c:v>Labuhanbatu</c:v>
                </c:pt>
                <c:pt idx="4">
                  <c:v>Mandailing Natal</c:v>
                </c:pt>
                <c:pt idx="5">
                  <c:v>Nias</c:v>
                </c:pt>
                <c:pt idx="6">
                  <c:v>Simalungun</c:v>
                </c:pt>
                <c:pt idx="7">
                  <c:v>Tapanuli Selatan</c:v>
                </c:pt>
                <c:pt idx="8">
                  <c:v>Tapanuli Tengah</c:v>
                </c:pt>
                <c:pt idx="9">
                  <c:v>Toba</c:v>
                </c:pt>
              </c:strCache>
            </c:strRef>
          </c:cat>
          <c:val>
            <c:numRef>
              <c:f>Sheet1!$E$4:$E$14</c:f>
              <c:numCache>
                <c:formatCode>General</c:formatCode>
                <c:ptCount val="10"/>
                <c:pt idx="0">
                  <c:v>27024</c:v>
                </c:pt>
                <c:pt idx="1">
                  <c:v>50053</c:v>
                </c:pt>
                <c:pt idx="2">
                  <c:v>13488</c:v>
                </c:pt>
                <c:pt idx="3">
                  <c:v>49452</c:v>
                </c:pt>
                <c:pt idx="4">
                  <c:v>23336</c:v>
                </c:pt>
                <c:pt idx="5">
                  <c:v>1096</c:v>
                </c:pt>
                <c:pt idx="6">
                  <c:v>40215</c:v>
                </c:pt>
                <c:pt idx="7">
                  <c:v>13304</c:v>
                </c:pt>
                <c:pt idx="8">
                  <c:v>24880</c:v>
                </c:pt>
                <c:pt idx="9">
                  <c:v>20091</c:v>
                </c:pt>
              </c:numCache>
            </c:numRef>
          </c:val>
          <c:extLst>
            <c:ext xmlns:c16="http://schemas.microsoft.com/office/drawing/2014/chart" uri="{C3380CC4-5D6E-409C-BE32-E72D297353CC}">
              <c16:uniqueId val="{0000001F-ACF3-4EF4-A79C-703ECDDB1C86}"/>
            </c:ext>
          </c:extLst>
        </c:ser>
        <c:dLbls>
          <c:showLegendKey val="0"/>
          <c:showVal val="0"/>
          <c:showCatName val="0"/>
          <c:showSerName val="0"/>
          <c:showPercent val="0"/>
          <c:showBubbleSize val="0"/>
        </c:dLbls>
        <c:gapWidth val="150"/>
        <c:shape val="box"/>
        <c:axId val="1731985840"/>
        <c:axId val="1896337456"/>
        <c:axId val="0"/>
      </c:bar3DChart>
      <c:catAx>
        <c:axId val="17319858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337456"/>
        <c:crosses val="autoZero"/>
        <c:auto val="1"/>
        <c:lblAlgn val="ctr"/>
        <c:lblOffset val="100"/>
        <c:noMultiLvlLbl val="0"/>
      </c:catAx>
      <c:valAx>
        <c:axId val="189633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98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EVIDATA-CASE STUDY.xlsx]Sheet1!PivotTable55</c:name>
    <c:fmtId val="1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Sum of Premium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Sheet1!$A$4:$A$14</c:f>
              <c:strCache>
                <c:ptCount val="10"/>
                <c:pt idx="0">
                  <c:v> Tapanuli Utara</c:v>
                </c:pt>
                <c:pt idx="1">
                  <c:v>Asahan</c:v>
                </c:pt>
                <c:pt idx="2">
                  <c:v>Dairi</c:v>
                </c:pt>
                <c:pt idx="3">
                  <c:v>Labuhanbatu</c:v>
                </c:pt>
                <c:pt idx="4">
                  <c:v>Mandailing Natal</c:v>
                </c:pt>
                <c:pt idx="5">
                  <c:v>Nias</c:v>
                </c:pt>
                <c:pt idx="6">
                  <c:v>Simalungun</c:v>
                </c:pt>
                <c:pt idx="7">
                  <c:v>Tapanuli Selatan</c:v>
                </c:pt>
                <c:pt idx="8">
                  <c:v>Tapanuli Tengah</c:v>
                </c:pt>
                <c:pt idx="9">
                  <c:v>Toba</c:v>
                </c:pt>
              </c:strCache>
            </c:strRef>
          </c:cat>
          <c:val>
            <c:numRef>
              <c:f>Sheet1!$B$4:$B$14</c:f>
              <c:numCache>
                <c:formatCode>General</c:formatCode>
                <c:ptCount val="10"/>
                <c:pt idx="0">
                  <c:v>25309</c:v>
                </c:pt>
                <c:pt idx="1">
                  <c:v>81463</c:v>
                </c:pt>
                <c:pt idx="2">
                  <c:v>22583</c:v>
                </c:pt>
                <c:pt idx="3">
                  <c:v>57629</c:v>
                </c:pt>
                <c:pt idx="4">
                  <c:v>36520</c:v>
                </c:pt>
                <c:pt idx="5">
                  <c:v>4398</c:v>
                </c:pt>
                <c:pt idx="6">
                  <c:v>58427</c:v>
                </c:pt>
                <c:pt idx="7">
                  <c:v>13966</c:v>
                </c:pt>
                <c:pt idx="8">
                  <c:v>28455</c:v>
                </c:pt>
                <c:pt idx="9">
                  <c:v>22174</c:v>
                </c:pt>
              </c:numCache>
            </c:numRef>
          </c:val>
          <c:smooth val="0"/>
          <c:extLst>
            <c:ext xmlns:c16="http://schemas.microsoft.com/office/drawing/2014/chart" uri="{C3380CC4-5D6E-409C-BE32-E72D297353CC}">
              <c16:uniqueId val="{00000000-880B-440D-B041-4C646DA1C4A3}"/>
            </c:ext>
          </c:extLst>
        </c:ser>
        <c:ser>
          <c:idx val="1"/>
          <c:order val="1"/>
          <c:tx>
            <c:strRef>
              <c:f>Sheet1!$C$3</c:f>
              <c:strCache>
                <c:ptCount val="1"/>
                <c:pt idx="0">
                  <c:v>Sum of LPG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Sheet1!$A$4:$A$14</c:f>
              <c:strCache>
                <c:ptCount val="10"/>
                <c:pt idx="0">
                  <c:v> Tapanuli Utara</c:v>
                </c:pt>
                <c:pt idx="1">
                  <c:v>Asahan</c:v>
                </c:pt>
                <c:pt idx="2">
                  <c:v>Dairi</c:v>
                </c:pt>
                <c:pt idx="3">
                  <c:v>Labuhanbatu</c:v>
                </c:pt>
                <c:pt idx="4">
                  <c:v>Mandailing Natal</c:v>
                </c:pt>
                <c:pt idx="5">
                  <c:v>Nias</c:v>
                </c:pt>
                <c:pt idx="6">
                  <c:v>Simalungun</c:v>
                </c:pt>
                <c:pt idx="7">
                  <c:v>Tapanuli Selatan</c:v>
                </c:pt>
                <c:pt idx="8">
                  <c:v>Tapanuli Tengah</c:v>
                </c:pt>
                <c:pt idx="9">
                  <c:v>Toba</c:v>
                </c:pt>
              </c:strCache>
            </c:strRef>
          </c:cat>
          <c:val>
            <c:numRef>
              <c:f>Sheet1!$C$4:$C$14</c:f>
              <c:numCache>
                <c:formatCode>General</c:formatCode>
                <c:ptCount val="10"/>
                <c:pt idx="0">
                  <c:v>8341</c:v>
                </c:pt>
                <c:pt idx="1">
                  <c:v>23671</c:v>
                </c:pt>
                <c:pt idx="2">
                  <c:v>8299</c:v>
                </c:pt>
                <c:pt idx="3">
                  <c:v>15826</c:v>
                </c:pt>
                <c:pt idx="4">
                  <c:v>8585</c:v>
                </c:pt>
                <c:pt idx="5">
                  <c:v>1490</c:v>
                </c:pt>
                <c:pt idx="6">
                  <c:v>29310</c:v>
                </c:pt>
                <c:pt idx="7">
                  <c:v>7607</c:v>
                </c:pt>
                <c:pt idx="8">
                  <c:v>7372</c:v>
                </c:pt>
                <c:pt idx="9">
                  <c:v>6408</c:v>
                </c:pt>
              </c:numCache>
            </c:numRef>
          </c:val>
          <c:smooth val="0"/>
          <c:extLst>
            <c:ext xmlns:c16="http://schemas.microsoft.com/office/drawing/2014/chart" uri="{C3380CC4-5D6E-409C-BE32-E72D297353CC}">
              <c16:uniqueId val="{00000001-880B-440D-B041-4C646DA1C4A3}"/>
            </c:ext>
          </c:extLst>
        </c:ser>
        <c:ser>
          <c:idx val="2"/>
          <c:order val="2"/>
          <c:tx>
            <c:strRef>
              <c:f>Sheet1!$D$3</c:f>
              <c:strCache>
                <c:ptCount val="1"/>
                <c:pt idx="0">
                  <c:v>Sum of Minyak Tanah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Sheet1!$A$4:$A$14</c:f>
              <c:strCache>
                <c:ptCount val="10"/>
                <c:pt idx="0">
                  <c:v> Tapanuli Utara</c:v>
                </c:pt>
                <c:pt idx="1">
                  <c:v>Asahan</c:v>
                </c:pt>
                <c:pt idx="2">
                  <c:v>Dairi</c:v>
                </c:pt>
                <c:pt idx="3">
                  <c:v>Labuhanbatu</c:v>
                </c:pt>
                <c:pt idx="4">
                  <c:v>Mandailing Natal</c:v>
                </c:pt>
                <c:pt idx="5">
                  <c:v>Nias</c:v>
                </c:pt>
                <c:pt idx="6">
                  <c:v>Simalungun</c:v>
                </c:pt>
                <c:pt idx="7">
                  <c:v>Tapanuli Selatan</c:v>
                </c:pt>
                <c:pt idx="8">
                  <c:v>Tapanuli Tengah</c:v>
                </c:pt>
                <c:pt idx="9">
                  <c:v>Toba</c:v>
                </c:pt>
              </c:strCache>
            </c:strRef>
          </c:cat>
          <c:val>
            <c:numRef>
              <c:f>Sheet1!$D$4:$D$14</c:f>
              <c:numCache>
                <c:formatCode>General</c:formatCode>
                <c:ptCount val="10"/>
                <c:pt idx="0">
                  <c:v>0</c:v>
                </c:pt>
                <c:pt idx="1">
                  <c:v>0</c:v>
                </c:pt>
                <c:pt idx="2">
                  <c:v>0</c:v>
                </c:pt>
                <c:pt idx="3">
                  <c:v>0</c:v>
                </c:pt>
                <c:pt idx="4">
                  <c:v>15</c:v>
                </c:pt>
                <c:pt idx="5">
                  <c:v>0</c:v>
                </c:pt>
                <c:pt idx="6">
                  <c:v>0</c:v>
                </c:pt>
                <c:pt idx="7">
                  <c:v>0</c:v>
                </c:pt>
                <c:pt idx="8">
                  <c:v>0</c:v>
                </c:pt>
                <c:pt idx="9">
                  <c:v>0</c:v>
                </c:pt>
              </c:numCache>
            </c:numRef>
          </c:val>
          <c:smooth val="0"/>
          <c:extLst>
            <c:ext xmlns:c16="http://schemas.microsoft.com/office/drawing/2014/chart" uri="{C3380CC4-5D6E-409C-BE32-E72D297353CC}">
              <c16:uniqueId val="{00000002-880B-440D-B041-4C646DA1C4A3}"/>
            </c:ext>
          </c:extLst>
        </c:ser>
        <c:ser>
          <c:idx val="3"/>
          <c:order val="3"/>
          <c:tx>
            <c:strRef>
              <c:f>Sheet1!$E$3</c:f>
              <c:strCache>
                <c:ptCount val="1"/>
                <c:pt idx="0">
                  <c:v>Sum of Biosolar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Sheet1!$A$4:$A$14</c:f>
              <c:strCache>
                <c:ptCount val="10"/>
                <c:pt idx="0">
                  <c:v> Tapanuli Utara</c:v>
                </c:pt>
                <c:pt idx="1">
                  <c:v>Asahan</c:v>
                </c:pt>
                <c:pt idx="2">
                  <c:v>Dairi</c:v>
                </c:pt>
                <c:pt idx="3">
                  <c:v>Labuhanbatu</c:v>
                </c:pt>
                <c:pt idx="4">
                  <c:v>Mandailing Natal</c:v>
                </c:pt>
                <c:pt idx="5">
                  <c:v>Nias</c:v>
                </c:pt>
                <c:pt idx="6">
                  <c:v>Simalungun</c:v>
                </c:pt>
                <c:pt idx="7">
                  <c:v>Tapanuli Selatan</c:v>
                </c:pt>
                <c:pt idx="8">
                  <c:v>Tapanuli Tengah</c:v>
                </c:pt>
                <c:pt idx="9">
                  <c:v>Toba</c:v>
                </c:pt>
              </c:strCache>
            </c:strRef>
          </c:cat>
          <c:val>
            <c:numRef>
              <c:f>Sheet1!$E$4:$E$14</c:f>
              <c:numCache>
                <c:formatCode>General</c:formatCode>
                <c:ptCount val="10"/>
                <c:pt idx="0">
                  <c:v>27024</c:v>
                </c:pt>
                <c:pt idx="1">
                  <c:v>50053</c:v>
                </c:pt>
                <c:pt idx="2">
                  <c:v>13488</c:v>
                </c:pt>
                <c:pt idx="3">
                  <c:v>49452</c:v>
                </c:pt>
                <c:pt idx="4">
                  <c:v>23336</c:v>
                </c:pt>
                <c:pt idx="5">
                  <c:v>1096</c:v>
                </c:pt>
                <c:pt idx="6">
                  <c:v>40215</c:v>
                </c:pt>
                <c:pt idx="7">
                  <c:v>13304</c:v>
                </c:pt>
                <c:pt idx="8">
                  <c:v>24880</c:v>
                </c:pt>
                <c:pt idx="9">
                  <c:v>20091</c:v>
                </c:pt>
              </c:numCache>
            </c:numRef>
          </c:val>
          <c:smooth val="0"/>
          <c:extLst>
            <c:ext xmlns:c16="http://schemas.microsoft.com/office/drawing/2014/chart" uri="{C3380CC4-5D6E-409C-BE32-E72D297353CC}">
              <c16:uniqueId val="{00000003-880B-440D-B041-4C646DA1C4A3}"/>
            </c:ext>
          </c:extLst>
        </c:ser>
        <c:dLbls>
          <c:showLegendKey val="0"/>
          <c:showVal val="0"/>
          <c:showCatName val="0"/>
          <c:showSerName val="0"/>
          <c:showPercent val="0"/>
          <c:showBubbleSize val="0"/>
        </c:dLbls>
        <c:marker val="1"/>
        <c:smooth val="0"/>
        <c:axId val="282871311"/>
        <c:axId val="282898671"/>
      </c:lineChart>
      <c:catAx>
        <c:axId val="28287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898671"/>
        <c:crosses val="autoZero"/>
        <c:auto val="1"/>
        <c:lblAlgn val="ctr"/>
        <c:lblOffset val="100"/>
        <c:noMultiLvlLbl val="0"/>
      </c:catAx>
      <c:valAx>
        <c:axId val="28289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87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data id="3">
      <cx:numDim type="val">
        <cx:f>_xlchart.v1.7</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D" sz="1400" b="1" i="0" u="none" strike="noStrike" baseline="0">
                <a:solidFill>
                  <a:sysClr val="windowText" lastClr="000000"/>
                </a:solidFill>
                <a:effectLst/>
                <a:latin typeface="Times New Roman" panose="02020603050405020304" pitchFamily="18" charset="0"/>
                <a:ea typeface="Calibri" panose="020F0502020204030204" pitchFamily="34" charset="0"/>
                <a:cs typeface="Times New Roman" panose="02020603050405020304" pitchFamily="18" charset="0"/>
              </a:rPr>
              <a:t>Boxplot Jumlah Penyaluran Bahan Bakar Minyak Menurut Jenis dan Kabupaten (Kiloliter) di Provinsi Sumatera Utara Tahun 2022</a:t>
            </a:r>
            <a:endParaRPr lang="en-ID" sz="1400">
              <a:solidFill>
                <a:sysClr val="windowText" lastClr="000000"/>
              </a:solidFill>
              <a:effectLst/>
              <a:latin typeface="Times New Roman" panose="02020603050405020304" pitchFamily="18" charset="0"/>
              <a:cs typeface="Times New Roman" panose="02020603050405020304" pitchFamily="18" charset="0"/>
            </a:endParaRPr>
          </a:p>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Surface>
          <cx:spPr>
            <a:ln>
              <a:solidFill>
                <a:sysClr val="windowText" lastClr="000000"/>
              </a:solidFill>
            </a:ln>
          </cx:spPr>
        </cx:plotSurface>
        <cx:series layoutId="boxWhisker" uniqueId="{08D2655A-3799-43B2-978A-F81D5660EE6A}">
          <cx:tx>
            <cx:txData>
              <cx:f>_xlchart.v1.0</cx:f>
              <cx:v>Premium</cx:v>
            </cx:txData>
          </cx:tx>
          <cx:spPr>
            <a:solidFill>
              <a:srgbClr val="CF8E55"/>
            </a:solidFill>
            <a:ln>
              <a:solidFill>
                <a:sysClr val="windowText" lastClr="000000"/>
              </a:solidFill>
            </a:ln>
          </cx:spPr>
          <cx:dataId val="0"/>
          <cx:layoutPr>
            <cx:visibility meanLine="0" meanMarker="1" nonoutliers="0" outliers="1"/>
            <cx:statistics quartileMethod="exclusive"/>
          </cx:layoutPr>
        </cx:series>
        <cx:series layoutId="boxWhisker" uniqueId="{E786C88E-B67A-4457-A580-92550143C870}">
          <cx:tx>
            <cx:txData>
              <cx:f>_xlchart.v1.2</cx:f>
              <cx:v>Biosolar</cx:v>
            </cx:txData>
          </cx:tx>
          <cx:spPr>
            <a:solidFill>
              <a:srgbClr val="854621"/>
            </a:solidFill>
            <a:ln>
              <a:solidFill>
                <a:sysClr val="windowText" lastClr="000000"/>
              </a:solidFill>
            </a:ln>
          </cx:spPr>
          <cx:dataId val="1"/>
          <cx:layoutPr>
            <cx:visibility meanLine="0" meanMarker="1" nonoutliers="0" outliers="1"/>
            <cx:statistics quartileMethod="exclusive"/>
          </cx:layoutPr>
        </cx:series>
        <cx:series layoutId="boxWhisker" uniqueId="{76ABB306-BFA0-4706-A4F9-535201CEF2AE}">
          <cx:tx>
            <cx:txData>
              <cx:f>_xlchart.v1.4</cx:f>
              <cx:v>Minyak Tanah</cx:v>
            </cx:txData>
          </cx:tx>
          <cx:dataId val="2"/>
          <cx:layoutPr>
            <cx:visibility meanLine="0" meanMarker="1" nonoutliers="0" outliers="1"/>
            <cx:statistics quartileMethod="exclusive"/>
          </cx:layoutPr>
        </cx:series>
        <cx:series layoutId="boxWhisker" uniqueId="{BC437000-97FF-40A6-BBCC-5BE658E6D370}">
          <cx:tx>
            <cx:txData>
              <cx:f>_xlchart.v1.6</cx:f>
              <cx:v>LPG</cx:v>
            </cx:txData>
          </cx:tx>
          <cx:spPr>
            <a:solidFill>
              <a:srgbClr val="FFCE33"/>
            </a:solidFill>
            <a:ln>
              <a:solidFill>
                <a:sysClr val="windowText" lastClr="000000"/>
              </a:solidFill>
            </a:ln>
          </cx:spPr>
          <cx:dataId val="3"/>
          <cx:layoutPr>
            <cx:visibility meanLine="0" meanMarker="1" nonoutliers="0" outliers="1"/>
            <cx:statistics quartileMethod="exclusive"/>
          </cx:layoutPr>
        </cx:series>
      </cx:plotAreaRegion>
      <cx:axis id="0">
        <cx:catScaling gapWidth="1"/>
        <cx:title>
          <cx:tx>
            <cx:txData>
              <cx:v>Jenis Bahan Bakar</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900" b="1" i="0" u="none" strike="noStrike" baseline="0">
                  <a:solidFill>
                    <a:sysClr val="windowText" lastClr="000000"/>
                  </a:solidFill>
                  <a:latin typeface="Calibri" panose="020F0502020204030204"/>
                </a:rPr>
                <a:t>Jenis Bahan Bakar</a:t>
              </a:r>
            </a:p>
          </cx:txPr>
        </cx:title>
        <cx:tickLabels/>
      </cx:axis>
      <cx:axis id="1">
        <cx:valScaling/>
        <cx:title>
          <cx:tx>
            <cx:txData>
              <cx:v>KIloliter</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900" b="1" i="0" u="none" strike="noStrike" baseline="0">
                  <a:solidFill>
                    <a:sysClr val="windowText" lastClr="000000"/>
                  </a:solidFill>
                  <a:latin typeface="Calibri" panose="020F0502020204030204"/>
                </a:rPr>
                <a:t>KIloliter</a:t>
              </a:r>
            </a:p>
          </cx:txPr>
        </cx:title>
        <cx:majorGridlines/>
        <cx:tick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axis>
    </cx:plotArea>
    <cx:legend pos="b" align="ctr" overlay="0">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data id="1">
      <cx:numDim type="val">
        <cx:f>_xlchart.v1.11</cx:f>
      </cx:numDim>
    </cx:data>
    <cx:data id="2">
      <cx:numDim type="val">
        <cx:f>_xlchart.v1.13</cx:f>
      </cx:numDim>
    </cx:data>
    <cx:data id="3">
      <cx:numDim type="val">
        <cx:f>_xlchart.v1.15</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D" sz="1200" b="1" i="0" u="none" strike="noStrike" baseline="0">
                <a:solidFill>
                  <a:sysClr val="windowText" lastClr="000000"/>
                </a:solidFill>
                <a:effectLst/>
                <a:latin typeface="Times New Roman" panose="02020603050405020304" pitchFamily="18" charset="0"/>
                <a:ea typeface="Calibri" panose="020F0502020204030204" pitchFamily="34" charset="0"/>
                <a:cs typeface="Times New Roman" panose="02020603050405020304" pitchFamily="18" charset="0"/>
              </a:rPr>
              <a:t>Boxplot Jumlah Penyaluran Bahan Bakar Minyak Menurut Jenis dan Kabupaten/Kota (Kiloliter) di Provinsi Sumatera Utara Tahun 2022</a:t>
            </a:r>
            <a:endParaRPr lang="en-ID" sz="1200" b="1">
              <a:solidFill>
                <a:sysClr val="windowText" lastClr="000000"/>
              </a:solidFill>
              <a:effectLst/>
              <a:latin typeface="Times New Roman" panose="02020603050405020304" pitchFamily="18" charset="0"/>
              <a:cs typeface="Times New Roman" panose="02020603050405020304" pitchFamily="18" charset="0"/>
            </a:endParaRPr>
          </a:p>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00" b="0"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endParaRPr>
          </a:p>
        </cx:rich>
      </cx:tx>
    </cx:title>
    <cx:plotArea>
      <cx:plotAreaRegion>
        <cx:series layoutId="boxWhisker" uniqueId="{03291C19-4F0E-47DD-AA07-4BF6F942A9A8}">
          <cx:tx>
            <cx:txData>
              <cx:f>_xlchart.v1.8</cx:f>
              <cx:v>Premium</cx:v>
            </cx:txData>
          </cx:tx>
          <cx:spPr>
            <a:solidFill>
              <a:srgbClr val="CF8E55"/>
            </a:solidFill>
            <a:ln>
              <a:solidFill>
                <a:sysClr val="windowText" lastClr="000000"/>
              </a:solidFill>
            </a:ln>
          </cx:spPr>
          <cx:dataId val="0"/>
          <cx:layoutPr>
            <cx:visibility meanLine="0" meanMarker="1" nonoutliers="0" outliers="1"/>
            <cx:statistics quartileMethod="exclusive"/>
          </cx:layoutPr>
        </cx:series>
        <cx:series layoutId="boxWhisker" uniqueId="{9E0DB3C8-B89F-4AC7-BB4D-B4F484D8EA1E}">
          <cx:tx>
            <cx:txData>
              <cx:f>_xlchart.v1.10</cx:f>
              <cx:v>Biosolar</cx:v>
            </cx:txData>
          </cx:tx>
          <cx:spPr>
            <a:solidFill>
              <a:srgbClr val="854621"/>
            </a:solidFill>
            <a:ln>
              <a:solidFill>
                <a:sysClr val="windowText" lastClr="000000"/>
              </a:solidFill>
            </a:ln>
          </cx:spPr>
          <cx:dataId val="1"/>
          <cx:layoutPr>
            <cx:visibility meanLine="0" meanMarker="1" nonoutliers="0" outliers="1"/>
            <cx:statistics quartileMethod="exclusive"/>
          </cx:layoutPr>
        </cx:series>
        <cx:series layoutId="boxWhisker" uniqueId="{EAC896B5-3470-4879-9531-36C080F2FD15}">
          <cx:tx>
            <cx:txData>
              <cx:f>_xlchart.v1.12</cx:f>
              <cx:v>Minyak Tanah</cx:v>
            </cx:txData>
          </cx:tx>
          <cx:spPr>
            <a:ln>
              <a:solidFill>
                <a:sysClr val="windowText" lastClr="000000"/>
              </a:solidFill>
            </a:ln>
          </cx:spPr>
          <cx:dataId val="2"/>
          <cx:layoutPr>
            <cx:visibility meanLine="0" meanMarker="1" nonoutliers="0" outliers="1"/>
            <cx:statistics quartileMethod="exclusive"/>
          </cx:layoutPr>
        </cx:series>
        <cx:series layoutId="boxWhisker" uniqueId="{4EFF30AE-C3F3-49CB-B4AA-D7AA598865EC}">
          <cx:tx>
            <cx:txData>
              <cx:f>_xlchart.v1.14</cx:f>
              <cx:v>LPG</cx:v>
            </cx:txData>
          </cx:tx>
          <cx:spPr>
            <a:solidFill>
              <a:srgbClr val="FFCE33"/>
            </a:solidFill>
            <a:ln>
              <a:solidFill>
                <a:sysClr val="windowText" lastClr="000000"/>
              </a:solidFill>
            </a:ln>
          </cx:spPr>
          <cx:dataId val="3"/>
          <cx:layoutPr>
            <cx:visibility meanLine="0" meanMarker="1" nonoutliers="0" outliers="1"/>
            <cx:statistics quartileMethod="exclusive"/>
          </cx:layoutPr>
        </cx:series>
      </cx:plotAreaRegion>
      <cx:axis id="0">
        <cx:catScaling gapWidth="1"/>
        <cx:title>
          <cx:tx>
            <cx:txData>
              <cx:v>Jenis bahan bakar</cx:v>
            </cx:txData>
          </cx:tx>
          <cx:txPr>
            <a:bodyPr spcFirstLastPara="1" vertOverflow="ellipsis" horzOverflow="overflow" wrap="square" lIns="0" tIns="0" rIns="0" bIns="0" anchor="ctr" anchorCtr="1"/>
            <a:lstStyle/>
            <a:p>
              <a:pPr algn="ctr" rtl="0">
                <a:defRPr b="1">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900" b="1" i="0" u="none" strike="noStrike" baseline="0">
                  <a:solidFill>
                    <a:sysClr val="windowText" lastClr="000000"/>
                  </a:solidFill>
                  <a:latin typeface="Times New Roman" panose="02020603050405020304" pitchFamily="18" charset="0"/>
                  <a:cs typeface="Times New Roman" panose="02020603050405020304" pitchFamily="18" charset="0"/>
                </a:rPr>
                <a:t>Jenis bahan bakar</a:t>
              </a:r>
            </a:p>
          </cx:txPr>
        </cx:title>
        <cx:tickLabels/>
      </cx:axis>
      <cx:axis id="1">
        <cx:valScaling/>
        <cx:title>
          <cx:tx>
            <cx:txData>
              <cx:v>Kiloliter</cx:v>
            </cx:txData>
          </cx:tx>
          <cx:txPr>
            <a:bodyPr spcFirstLastPara="1" vertOverflow="ellipsis" horzOverflow="overflow" wrap="square" lIns="0" tIns="0" rIns="0" bIns="0" anchor="ctr" anchorCtr="1"/>
            <a:lstStyle/>
            <a:p>
              <a:pPr algn="ctr" rtl="0">
                <a:defRPr>
                  <a:latin typeface="Times New Roman" panose="02020603050405020304" pitchFamily="18" charset="0"/>
                  <a:ea typeface="Times New Roman" panose="02020603050405020304" pitchFamily="18" charset="0"/>
                  <a:cs typeface="Times New Roman" panose="02020603050405020304" pitchFamily="18" charset="0"/>
                </a:defRPr>
              </a:pPr>
              <a:r>
                <a:rPr lang="en-US" sz="900" b="1" i="0" u="none" strike="noStrike" baseline="0">
                  <a:solidFill>
                    <a:sysClr val="windowText" lastClr="000000"/>
                  </a:solidFill>
                  <a:latin typeface="Times New Roman" panose="02020603050405020304" pitchFamily="18" charset="0"/>
                  <a:cs typeface="Times New Roman" panose="02020603050405020304" pitchFamily="18" charset="0"/>
                </a:rPr>
                <a:t>Kiloliter</a:t>
              </a:r>
            </a:p>
          </cx:txPr>
        </cx:title>
        <cx:majorGridlines/>
        <cx:tickLabels/>
        <cx:txPr>
          <a:bodyPr spcFirstLastPara="1" vertOverflow="ellipsis" horzOverflow="overflow" wrap="square" lIns="0" tIns="0" rIns="0" bIns="0" anchor="ctr" anchorCtr="1"/>
          <a:lstStyle/>
          <a:p>
            <a:pPr algn="ctr" rtl="0">
              <a:defRPr>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en-US" sz="900" b="0" i="0" u="none" strike="noStrike"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x:txPr>
      </cx:axis>
    </cx:plotArea>
    <cx:legend pos="b" align="ctr" overlay="0">
      <cx:txPr>
        <a:bodyPr spcFirstLastPara="1" vertOverflow="ellipsis" horzOverflow="overflow" wrap="square" lIns="0" tIns="0" rIns="0" bIns="0" anchor="ctr" anchorCtr="1"/>
        <a:lstStyle/>
        <a:p>
          <a:pPr algn="ctr" rtl="0">
            <a:defRPr>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0" i="0" u="none" strike="noStrike" baseline="0">
            <a:solidFill>
              <a:sysClr val="windowText" lastClr="000000"/>
            </a:solidFill>
            <a:latin typeface="Times New Roman" panose="02020603050405020304" pitchFamily="18" charset="0"/>
            <a:cs typeface="Times New Roman" panose="02020603050405020304" pitchFamily="18" charset="0"/>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_xlchart.v1.25</cx:f>
      </cx:numDim>
    </cx:data>
    <cx:data id="1">
      <cx:numDim type="val">
        <cx:f>_xlchart.v1.27</cx:f>
      </cx:numDim>
    </cx:data>
    <cx:data id="2">
      <cx:numDim type="val">
        <cx:f>_xlchart.v1.29</cx:f>
      </cx:numDim>
    </cx:data>
    <cx:data id="3">
      <cx:numDim type="val">
        <cx:f>_xlchart.v1.31</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D" sz="1400" b="1" i="0" u="none" strike="noStrike" baseline="0">
                <a:solidFill>
                  <a:sysClr val="windowText" lastClr="000000"/>
                </a:solidFill>
                <a:effectLst/>
                <a:latin typeface="Times New Roman" panose="02020603050405020304" pitchFamily="18" charset="0"/>
                <a:ea typeface="Calibri" panose="020F0502020204030204" pitchFamily="34" charset="0"/>
                <a:cs typeface="Times New Roman" panose="02020603050405020304" pitchFamily="18" charset="0"/>
              </a:rPr>
              <a:t>Boxplot Jumlah Penyaluran Bahan Bakar Minyak Menurut Jenis dan Kabupaten (Kiloliter) di Provinsi Sumatera Utara Tahun 2022</a:t>
            </a:r>
            <a:endParaRPr lang="en-ID" sz="1400">
              <a:solidFill>
                <a:sysClr val="windowText" lastClr="000000"/>
              </a:solidFill>
              <a:effectLst/>
              <a:latin typeface="Times New Roman" panose="02020603050405020304" pitchFamily="18" charset="0"/>
              <a:cs typeface="Times New Roman" panose="02020603050405020304" pitchFamily="18" charset="0"/>
            </a:endParaRPr>
          </a:p>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Surface>
          <cx:spPr>
            <a:ln>
              <a:solidFill>
                <a:sysClr val="windowText" lastClr="000000"/>
              </a:solidFill>
            </a:ln>
          </cx:spPr>
        </cx:plotSurface>
        <cx:series layoutId="boxWhisker" uniqueId="{08D2655A-3799-43B2-978A-F81D5660EE6A}">
          <cx:tx>
            <cx:txData>
              <cx:f>_xlchart.v1.24</cx:f>
              <cx:v>Premium</cx:v>
            </cx:txData>
          </cx:tx>
          <cx:spPr>
            <a:solidFill>
              <a:srgbClr val="CF8E55"/>
            </a:solidFill>
            <a:ln>
              <a:solidFill>
                <a:sysClr val="windowText" lastClr="000000"/>
              </a:solidFill>
            </a:ln>
          </cx:spPr>
          <cx:dataId val="0"/>
          <cx:layoutPr>
            <cx:visibility meanLine="0" meanMarker="1" nonoutliers="0" outliers="1"/>
            <cx:statistics quartileMethod="exclusive"/>
          </cx:layoutPr>
        </cx:series>
        <cx:series layoutId="boxWhisker" uniqueId="{E786C88E-B67A-4457-A580-92550143C870}">
          <cx:tx>
            <cx:txData>
              <cx:f>_xlchart.v1.26</cx:f>
              <cx:v>Biosolar</cx:v>
            </cx:txData>
          </cx:tx>
          <cx:spPr>
            <a:solidFill>
              <a:srgbClr val="854621"/>
            </a:solidFill>
            <a:ln>
              <a:solidFill>
                <a:sysClr val="windowText" lastClr="000000"/>
              </a:solidFill>
            </a:ln>
          </cx:spPr>
          <cx:dataId val="1"/>
          <cx:layoutPr>
            <cx:visibility meanLine="0" meanMarker="1" nonoutliers="0" outliers="1"/>
            <cx:statistics quartileMethod="exclusive"/>
          </cx:layoutPr>
        </cx:series>
        <cx:series layoutId="boxWhisker" uniqueId="{76ABB306-BFA0-4706-A4F9-535201CEF2AE}">
          <cx:tx>
            <cx:txData>
              <cx:f>_xlchart.v1.28</cx:f>
              <cx:v>Minyak Tanah</cx:v>
            </cx:txData>
          </cx:tx>
          <cx:dataId val="2"/>
          <cx:layoutPr>
            <cx:visibility meanLine="0" meanMarker="1" nonoutliers="0" outliers="1"/>
            <cx:statistics quartileMethod="exclusive"/>
          </cx:layoutPr>
        </cx:series>
        <cx:series layoutId="boxWhisker" uniqueId="{BC437000-97FF-40A6-BBCC-5BE658E6D370}">
          <cx:tx>
            <cx:txData>
              <cx:f>_xlchart.v1.30</cx:f>
              <cx:v>LPG</cx:v>
            </cx:txData>
          </cx:tx>
          <cx:spPr>
            <a:solidFill>
              <a:srgbClr val="FFCE33"/>
            </a:solidFill>
            <a:ln>
              <a:solidFill>
                <a:sysClr val="windowText" lastClr="000000"/>
              </a:solidFill>
            </a:ln>
          </cx:spPr>
          <cx:dataId val="3"/>
          <cx:layoutPr>
            <cx:visibility meanLine="0" meanMarker="1" nonoutliers="0" outliers="1"/>
            <cx:statistics quartileMethod="exclusive"/>
          </cx:layoutPr>
        </cx:series>
      </cx:plotAreaRegion>
      <cx:axis id="0">
        <cx:catScaling gapWidth="1"/>
        <cx:title>
          <cx:tx>
            <cx:txData>
              <cx:v>Jenis Bahan Bakar</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900" b="1" i="0" u="none" strike="noStrike" baseline="0">
                  <a:solidFill>
                    <a:sysClr val="windowText" lastClr="000000"/>
                  </a:solidFill>
                  <a:latin typeface="Calibri" panose="020F0502020204030204"/>
                </a:rPr>
                <a:t>Jenis Bahan Bakar</a:t>
              </a:r>
            </a:p>
          </cx:txPr>
        </cx:title>
        <cx:tickLabels/>
      </cx:axis>
      <cx:axis id="1">
        <cx:valScaling/>
        <cx:title>
          <cx:tx>
            <cx:txData>
              <cx:v>KIloliter</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900" b="1" i="0" u="none" strike="noStrike" baseline="0">
                  <a:solidFill>
                    <a:sysClr val="windowText" lastClr="000000"/>
                  </a:solidFill>
                  <a:latin typeface="Calibri" panose="020F0502020204030204"/>
                </a:rPr>
                <a:t>KIloliter</a:t>
              </a:r>
            </a:p>
          </cx:txPr>
        </cx:title>
        <cx:majorGridlines/>
        <cx:tick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axis>
    </cx:plotArea>
    <cx:legend pos="b" align="ctr" overlay="0">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legend>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_xlchart.v1.17</cx:f>
      </cx:numDim>
    </cx:data>
    <cx:data id="1">
      <cx:numDim type="val">
        <cx:f>_xlchart.v1.19</cx:f>
      </cx:numDim>
    </cx:data>
    <cx:data id="2">
      <cx:numDim type="val">
        <cx:f>_xlchart.v1.21</cx:f>
      </cx:numDim>
    </cx:data>
    <cx:data id="3">
      <cx:numDim type="val">
        <cx:f>_xlchart.v1.23</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D" sz="1200" b="1" i="0" u="none" strike="noStrike" baseline="0">
                <a:solidFill>
                  <a:sysClr val="windowText" lastClr="000000"/>
                </a:solidFill>
                <a:effectLst/>
                <a:latin typeface="Times New Roman" panose="02020603050405020304" pitchFamily="18" charset="0"/>
                <a:ea typeface="Calibri" panose="020F0502020204030204" pitchFamily="34" charset="0"/>
                <a:cs typeface="Times New Roman" panose="02020603050405020304" pitchFamily="18" charset="0"/>
              </a:rPr>
              <a:t>Boxplot Jumlah Penyaluran Bahan Bakar Minyak Menurut Jenis dan Kabupaten (Kiloliter) di Provinsi Sumatera Utara Tahun 2022</a:t>
            </a:r>
            <a:endParaRPr lang="en-ID" sz="1200" b="1">
              <a:solidFill>
                <a:sysClr val="windowText" lastClr="000000"/>
              </a:solidFill>
              <a:effectLst/>
              <a:latin typeface="Times New Roman" panose="02020603050405020304" pitchFamily="18" charset="0"/>
              <a:cs typeface="Times New Roman" panose="02020603050405020304" pitchFamily="18" charset="0"/>
            </a:endParaRPr>
          </a:p>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00" b="0"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endParaRPr>
          </a:p>
        </cx:rich>
      </cx:tx>
    </cx:title>
    <cx:plotArea>
      <cx:plotAreaRegion>
        <cx:series layoutId="boxWhisker" uniqueId="{03291C19-4F0E-47DD-AA07-4BF6F942A9A8}">
          <cx:tx>
            <cx:txData>
              <cx:f>_xlchart.v1.16</cx:f>
              <cx:v>Premium</cx:v>
            </cx:txData>
          </cx:tx>
          <cx:spPr>
            <a:solidFill>
              <a:srgbClr val="CF8E55"/>
            </a:solidFill>
            <a:ln>
              <a:solidFill>
                <a:sysClr val="windowText" lastClr="000000"/>
              </a:solidFill>
            </a:ln>
          </cx:spPr>
          <cx:dataId val="0"/>
          <cx:layoutPr>
            <cx:visibility meanLine="0" meanMarker="1" nonoutliers="0" outliers="1"/>
            <cx:statistics quartileMethod="exclusive"/>
          </cx:layoutPr>
        </cx:series>
        <cx:series layoutId="boxWhisker" uniqueId="{9E0DB3C8-B89F-4AC7-BB4D-B4F484D8EA1E}">
          <cx:tx>
            <cx:txData>
              <cx:f>_xlchart.v1.18</cx:f>
              <cx:v>Biosolar</cx:v>
            </cx:txData>
          </cx:tx>
          <cx:spPr>
            <a:solidFill>
              <a:srgbClr val="854621"/>
            </a:solidFill>
            <a:ln>
              <a:solidFill>
                <a:sysClr val="windowText" lastClr="000000"/>
              </a:solidFill>
            </a:ln>
          </cx:spPr>
          <cx:dataId val="1"/>
          <cx:layoutPr>
            <cx:visibility meanLine="0" meanMarker="1" nonoutliers="0" outliers="1"/>
            <cx:statistics quartileMethod="exclusive"/>
          </cx:layoutPr>
        </cx:series>
        <cx:series layoutId="boxWhisker" uniqueId="{EAC896B5-3470-4879-9531-36C080F2FD15}">
          <cx:tx>
            <cx:txData>
              <cx:f>_xlchart.v1.20</cx:f>
              <cx:v>Minyak Tanah</cx:v>
            </cx:txData>
          </cx:tx>
          <cx:spPr>
            <a:ln>
              <a:solidFill>
                <a:sysClr val="windowText" lastClr="000000"/>
              </a:solidFill>
            </a:ln>
          </cx:spPr>
          <cx:dataId val="2"/>
          <cx:layoutPr>
            <cx:visibility meanLine="0" meanMarker="1" nonoutliers="0" outliers="1"/>
            <cx:statistics quartileMethod="exclusive"/>
          </cx:layoutPr>
        </cx:series>
        <cx:series layoutId="boxWhisker" uniqueId="{4EFF30AE-C3F3-49CB-B4AA-D7AA598865EC}">
          <cx:tx>
            <cx:txData>
              <cx:f>_xlchart.v1.22</cx:f>
              <cx:v>LPG</cx:v>
            </cx:txData>
          </cx:tx>
          <cx:spPr>
            <a:solidFill>
              <a:srgbClr val="FFCE33"/>
            </a:solidFill>
            <a:ln>
              <a:solidFill>
                <a:sysClr val="windowText" lastClr="000000"/>
              </a:solidFill>
            </a:ln>
          </cx:spPr>
          <cx:dataId val="3"/>
          <cx:layoutPr>
            <cx:visibility meanLine="0" meanMarker="1" nonoutliers="0" outliers="1"/>
            <cx:statistics quartileMethod="exclusive"/>
          </cx:layoutPr>
        </cx:series>
      </cx:plotAreaRegion>
      <cx:axis id="0">
        <cx:catScaling gapWidth="1"/>
        <cx:title>
          <cx:tx>
            <cx:txData>
              <cx:v>Jenis bahan bakar</cx:v>
            </cx:txData>
          </cx:tx>
          <cx:txPr>
            <a:bodyPr spcFirstLastPara="1" vertOverflow="ellipsis" horzOverflow="overflow" wrap="square" lIns="0" tIns="0" rIns="0" bIns="0" anchor="ctr" anchorCtr="1"/>
            <a:lstStyle/>
            <a:p>
              <a:pPr algn="ctr" rtl="0">
                <a:defRPr b="1">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900" b="1" i="0" u="none" strike="noStrike" baseline="0">
                  <a:solidFill>
                    <a:sysClr val="windowText" lastClr="000000"/>
                  </a:solidFill>
                  <a:latin typeface="Times New Roman" panose="02020603050405020304" pitchFamily="18" charset="0"/>
                  <a:cs typeface="Times New Roman" panose="02020603050405020304" pitchFamily="18" charset="0"/>
                </a:rPr>
                <a:t>Jenis bahan bakar</a:t>
              </a:r>
            </a:p>
          </cx:txPr>
        </cx:title>
        <cx:tickLabels/>
      </cx:axis>
      <cx:axis id="1">
        <cx:valScaling/>
        <cx:title>
          <cx:tx>
            <cx:txData>
              <cx:v>Kiloliter</cx:v>
            </cx:txData>
          </cx:tx>
          <cx:txPr>
            <a:bodyPr spcFirstLastPara="1" vertOverflow="ellipsis" horzOverflow="overflow" wrap="square" lIns="0" tIns="0" rIns="0" bIns="0" anchor="ctr" anchorCtr="1"/>
            <a:lstStyle/>
            <a:p>
              <a:pPr algn="ctr" rtl="0">
                <a:defRPr>
                  <a:latin typeface="Times New Roman" panose="02020603050405020304" pitchFamily="18" charset="0"/>
                  <a:ea typeface="Times New Roman" panose="02020603050405020304" pitchFamily="18" charset="0"/>
                  <a:cs typeface="Times New Roman" panose="02020603050405020304" pitchFamily="18" charset="0"/>
                </a:defRPr>
              </a:pPr>
              <a:r>
                <a:rPr lang="en-US" sz="900" b="1" i="0" u="none" strike="noStrike" baseline="0">
                  <a:solidFill>
                    <a:sysClr val="windowText" lastClr="000000"/>
                  </a:solidFill>
                  <a:latin typeface="Times New Roman" panose="02020603050405020304" pitchFamily="18" charset="0"/>
                  <a:cs typeface="Times New Roman" panose="02020603050405020304" pitchFamily="18" charset="0"/>
                </a:rPr>
                <a:t>Kiloliter</a:t>
              </a:r>
            </a:p>
          </cx:txPr>
        </cx:title>
        <cx:majorGridlines/>
        <cx:tickLabels/>
        <cx:txPr>
          <a:bodyPr spcFirstLastPara="1" vertOverflow="ellipsis" horzOverflow="overflow" wrap="square" lIns="0" tIns="0" rIns="0" bIns="0" anchor="ctr" anchorCtr="1"/>
          <a:lstStyle/>
          <a:p>
            <a:pPr algn="ctr" rtl="0">
              <a:defRPr>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en-US" sz="900" b="0" i="0" u="none" strike="noStrike"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x:txPr>
      </cx:axis>
    </cx:plotArea>
    <cx:legend pos="b" align="ctr" overlay="0">
      <cx:txPr>
        <a:bodyPr spcFirstLastPara="1" vertOverflow="ellipsis" horzOverflow="overflow" wrap="square" lIns="0" tIns="0" rIns="0" bIns="0" anchor="ctr" anchorCtr="1"/>
        <a:lstStyle/>
        <a:p>
          <a:pPr algn="ctr" rtl="0">
            <a:defRPr>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0" i="0" u="none" strike="noStrike" baseline="0">
            <a:solidFill>
              <a:sysClr val="windowText" lastClr="000000"/>
            </a:solidFill>
            <a:latin typeface="Times New Roman" panose="02020603050405020304" pitchFamily="18" charset="0"/>
            <a:cs typeface="Times New Roman" panose="02020603050405020304" pitchFamily="18" charset="0"/>
          </a:endParaRPr>
        </a:p>
      </cx:txPr>
    </cx:legend>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3.xml"/><Relationship Id="rId2" Type="http://schemas.openxmlformats.org/officeDocument/2006/relationships/hyperlink" Target="#DASHBOARD!A1"/><Relationship Id="rId1" Type="http://schemas.openxmlformats.org/officeDocument/2006/relationships/hyperlink" Target="#'INPUT '!A1"/><Relationship Id="rId6" Type="http://schemas.openxmlformats.org/officeDocument/2006/relationships/chart" Target="../charts/chart2.xml"/><Relationship Id="rId5" Type="http://schemas.openxmlformats.org/officeDocument/2006/relationships/image" Target="../media/image2.sv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2" Type="http://schemas.microsoft.com/office/2014/relationships/chartEx" Target="../charts/chartEx4.xml"/><Relationship Id="rId1" Type="http://schemas.microsoft.com/office/2014/relationships/chartEx" Target="../charts/chartEx3.xml"/></Relationships>
</file>

<file path=xl/drawings/_rels/drawing6.xml.rels><?xml version="1.0" encoding="UTF-8" standalone="yes"?>
<Relationships xmlns="http://schemas.openxmlformats.org/package/2006/relationships"><Relationship Id="rId8" Type="http://schemas.openxmlformats.org/officeDocument/2006/relationships/hyperlink" Target="#DASHBOARD!A1"/><Relationship Id="rId3" Type="http://schemas.openxmlformats.org/officeDocument/2006/relationships/chart" Target="../charts/chart7.xml"/><Relationship Id="rId7" Type="http://schemas.openxmlformats.org/officeDocument/2006/relationships/hyperlink" Target="#'INPUT '!A1"/><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 Id="rId9"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svg"/><Relationship Id="rId1" Type="http://schemas.openxmlformats.org/officeDocument/2006/relationships/image" Target="../media/image7.png"/><Relationship Id="rId6" Type="http://schemas.openxmlformats.org/officeDocument/2006/relationships/image" Target="../media/image12.svg"/><Relationship Id="rId5" Type="http://schemas.openxmlformats.org/officeDocument/2006/relationships/image" Target="../media/image11.png"/><Relationship Id="rId4" Type="http://schemas.openxmlformats.org/officeDocument/2006/relationships/image" Target="../media/image10.svg"/></Relationships>
</file>

<file path=xl/drawings/_rels/drawing9.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57150</xdr:colOff>
      <xdr:row>2</xdr:row>
      <xdr:rowOff>158750</xdr:rowOff>
    </xdr:from>
    <xdr:to>
      <xdr:col>1</xdr:col>
      <xdr:colOff>18</xdr:colOff>
      <xdr:row>4</xdr:row>
      <xdr:rowOff>44450</xdr:rowOff>
    </xdr:to>
    <xdr:sp macro="" textlink="">
      <xdr:nvSpPr>
        <xdr:cNvPr id="2" name="Flowchart: Terminator 38">
          <a:hlinkClick xmlns:r="http://schemas.openxmlformats.org/officeDocument/2006/relationships" r:id="rId1"/>
          <a:extLst>
            <a:ext uri="{FF2B5EF4-FFF2-40B4-BE49-F238E27FC236}">
              <a16:creationId xmlns:a16="http://schemas.microsoft.com/office/drawing/2014/main" id="{21636208-40AD-42CC-ADB4-411BF257C437}"/>
            </a:ext>
          </a:extLst>
        </xdr:cNvPr>
        <xdr:cNvSpPr/>
      </xdr:nvSpPr>
      <xdr:spPr>
        <a:xfrm>
          <a:off x="57150" y="1308100"/>
          <a:ext cx="1035068" cy="279400"/>
        </a:xfrm>
        <a:custGeom>
          <a:avLst/>
          <a:gdLst>
            <a:gd name="connsiteX0" fmla="*/ 3475 w 21600"/>
            <a:gd name="connsiteY0" fmla="*/ 0 h 21600"/>
            <a:gd name="connsiteX1" fmla="*/ 18125 w 21600"/>
            <a:gd name="connsiteY1" fmla="*/ 0 h 21600"/>
            <a:gd name="connsiteX2" fmla="*/ 21600 w 21600"/>
            <a:gd name="connsiteY2" fmla="*/ 10800 h 21600"/>
            <a:gd name="connsiteX3" fmla="*/ 18125 w 21600"/>
            <a:gd name="connsiteY3" fmla="*/ 21600 h 21600"/>
            <a:gd name="connsiteX4" fmla="*/ 3475 w 21600"/>
            <a:gd name="connsiteY4" fmla="*/ 21600 h 21600"/>
            <a:gd name="connsiteX5" fmla="*/ 0 w 21600"/>
            <a:gd name="connsiteY5" fmla="*/ 10800 h 21600"/>
            <a:gd name="connsiteX6" fmla="*/ 3475 w 21600"/>
            <a:gd name="connsiteY6" fmla="*/ 0 h 21600"/>
            <a:gd name="connsiteX0" fmla="*/ 3475 w 21083"/>
            <a:gd name="connsiteY0" fmla="*/ 0 h 21600"/>
            <a:gd name="connsiteX1" fmla="*/ 18125 w 21083"/>
            <a:gd name="connsiteY1" fmla="*/ 0 h 21600"/>
            <a:gd name="connsiteX2" fmla="*/ 21083 w 21083"/>
            <a:gd name="connsiteY2" fmla="*/ 11291 h 21600"/>
            <a:gd name="connsiteX3" fmla="*/ 18125 w 21083"/>
            <a:gd name="connsiteY3" fmla="*/ 21600 h 21600"/>
            <a:gd name="connsiteX4" fmla="*/ 3475 w 21083"/>
            <a:gd name="connsiteY4" fmla="*/ 21600 h 21600"/>
            <a:gd name="connsiteX5" fmla="*/ 0 w 21083"/>
            <a:gd name="connsiteY5" fmla="*/ 10800 h 21600"/>
            <a:gd name="connsiteX6" fmla="*/ 3475 w 21083"/>
            <a:gd name="connsiteY6" fmla="*/ 0 h 216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1083" h="21600">
              <a:moveTo>
                <a:pt x="3475" y="0"/>
              </a:moveTo>
              <a:lnTo>
                <a:pt x="18125" y="0"/>
              </a:lnTo>
              <a:cubicBezTo>
                <a:pt x="20044" y="0"/>
                <a:pt x="21083" y="5326"/>
                <a:pt x="21083" y="11291"/>
              </a:cubicBezTo>
              <a:cubicBezTo>
                <a:pt x="21083" y="17256"/>
                <a:pt x="20044" y="21600"/>
                <a:pt x="18125" y="21600"/>
              </a:cubicBezTo>
              <a:lnTo>
                <a:pt x="3475" y="21600"/>
              </a:lnTo>
              <a:cubicBezTo>
                <a:pt x="1556" y="21600"/>
                <a:pt x="0" y="16765"/>
                <a:pt x="0" y="10800"/>
              </a:cubicBezTo>
              <a:cubicBezTo>
                <a:pt x="0" y="4835"/>
                <a:pt x="1556" y="0"/>
                <a:pt x="3475" y="0"/>
              </a:cubicBezTo>
              <a:close/>
            </a:path>
          </a:pathLst>
        </a:custGeom>
        <a:solidFill>
          <a:schemeClr val="bg1"/>
        </a:solidFill>
        <a:ln>
          <a:solidFill>
            <a:srgbClr val="38323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200">
              <a:solidFill>
                <a:sysClr val="windowText" lastClr="000000"/>
              </a:solidFill>
              <a:latin typeface="Britannic Bold" panose="020B0903060703020204" pitchFamily="34" charset="0"/>
            </a:rPr>
            <a:t>INPUT</a:t>
          </a:r>
        </a:p>
      </xdr:txBody>
    </xdr:sp>
    <xdr:clientData/>
  </xdr:twoCellAnchor>
  <xdr:twoCellAnchor>
    <xdr:from>
      <xdr:col>0</xdr:col>
      <xdr:colOff>95250</xdr:colOff>
      <xdr:row>0</xdr:row>
      <xdr:rowOff>152400</xdr:rowOff>
    </xdr:from>
    <xdr:to>
      <xdr:col>0</xdr:col>
      <xdr:colOff>1016000</xdr:colOff>
      <xdr:row>0</xdr:row>
      <xdr:rowOff>704850</xdr:rowOff>
    </xdr:to>
    <xdr:sp macro="" textlink="">
      <xdr:nvSpPr>
        <xdr:cNvPr id="6" name="TextBox 5">
          <a:extLst>
            <a:ext uri="{FF2B5EF4-FFF2-40B4-BE49-F238E27FC236}">
              <a16:creationId xmlns:a16="http://schemas.microsoft.com/office/drawing/2014/main" id="{3A357656-9C56-4154-978E-53FFC5D2053F}"/>
            </a:ext>
          </a:extLst>
        </xdr:cNvPr>
        <xdr:cNvSpPr txBox="1"/>
      </xdr:nvSpPr>
      <xdr:spPr>
        <a:xfrm>
          <a:off x="95250" y="152400"/>
          <a:ext cx="92075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D" sz="1100"/>
        </a:p>
      </xdr:txBody>
    </xdr:sp>
    <xdr:clientData/>
  </xdr:twoCellAnchor>
  <xdr:twoCellAnchor>
    <xdr:from>
      <xdr:col>0</xdr:col>
      <xdr:colOff>152400</xdr:colOff>
      <xdr:row>0</xdr:row>
      <xdr:rowOff>755651</xdr:rowOff>
    </xdr:from>
    <xdr:to>
      <xdr:col>0</xdr:col>
      <xdr:colOff>906639</xdr:colOff>
      <xdr:row>0</xdr:row>
      <xdr:rowOff>928512</xdr:rowOff>
    </xdr:to>
    <xdr:sp macro="" textlink="">
      <xdr:nvSpPr>
        <xdr:cNvPr id="8" name="TextBox 7">
          <a:extLst>
            <a:ext uri="{FF2B5EF4-FFF2-40B4-BE49-F238E27FC236}">
              <a16:creationId xmlns:a16="http://schemas.microsoft.com/office/drawing/2014/main" id="{01D9CAE8-8461-47F0-AF46-D4B5E7AE238C}"/>
            </a:ext>
          </a:extLst>
        </xdr:cNvPr>
        <xdr:cNvSpPr txBox="1"/>
      </xdr:nvSpPr>
      <xdr:spPr>
        <a:xfrm>
          <a:off x="152400" y="755651"/>
          <a:ext cx="754239" cy="172861"/>
        </a:xfrm>
        <a:prstGeom prst="roundRect">
          <a:avLst/>
        </a:prstGeom>
        <a:solidFill>
          <a:srgbClr val="38323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a:solidFill>
                <a:schemeClr val="bg1"/>
              </a:solidFill>
              <a:latin typeface="Britannic Bold" panose="020B0903060703020204" pitchFamily="34" charset="0"/>
            </a:rPr>
            <a:t>2022</a:t>
          </a:r>
        </a:p>
      </xdr:txBody>
    </xdr:sp>
    <xdr:clientData/>
  </xdr:twoCellAnchor>
  <xdr:twoCellAnchor>
    <xdr:from>
      <xdr:col>10</xdr:col>
      <xdr:colOff>95584</xdr:colOff>
      <xdr:row>0</xdr:row>
      <xdr:rowOff>68848</xdr:rowOff>
    </xdr:from>
    <xdr:to>
      <xdr:col>12</xdr:col>
      <xdr:colOff>565484</xdr:colOff>
      <xdr:row>0</xdr:row>
      <xdr:rowOff>316498</xdr:rowOff>
    </xdr:to>
    <xdr:sp macro="" textlink="">
      <xdr:nvSpPr>
        <xdr:cNvPr id="13" name="TextBox 12">
          <a:extLst>
            <a:ext uri="{FF2B5EF4-FFF2-40B4-BE49-F238E27FC236}">
              <a16:creationId xmlns:a16="http://schemas.microsoft.com/office/drawing/2014/main" id="{BD6F0AB1-97B6-4D60-B138-F2965EE40F81}"/>
            </a:ext>
          </a:extLst>
        </xdr:cNvPr>
        <xdr:cNvSpPr txBox="1"/>
      </xdr:nvSpPr>
      <xdr:spPr>
        <a:xfrm>
          <a:off x="7937834" y="68848"/>
          <a:ext cx="16891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D" sz="1100">
            <a:solidFill>
              <a:schemeClr val="bg1"/>
            </a:solidFill>
            <a:latin typeface="Britannic Bold" panose="020B0903060703020204" pitchFamily="34" charset="0"/>
          </a:endParaRPr>
        </a:p>
      </xdr:txBody>
    </xdr:sp>
    <xdr:clientData/>
  </xdr:twoCellAnchor>
  <xdr:twoCellAnchor>
    <xdr:from>
      <xdr:col>0</xdr:col>
      <xdr:colOff>6350</xdr:colOff>
      <xdr:row>0</xdr:row>
      <xdr:rowOff>246313</xdr:rowOff>
    </xdr:from>
    <xdr:to>
      <xdr:col>17</xdr:col>
      <xdr:colOff>38100</xdr:colOff>
      <xdr:row>0</xdr:row>
      <xdr:rowOff>577850</xdr:rowOff>
    </xdr:to>
    <xdr:sp macro="" textlink="">
      <xdr:nvSpPr>
        <xdr:cNvPr id="28" name="TextBox 27">
          <a:extLst>
            <a:ext uri="{FF2B5EF4-FFF2-40B4-BE49-F238E27FC236}">
              <a16:creationId xmlns:a16="http://schemas.microsoft.com/office/drawing/2014/main" id="{FA9E3E58-6CFD-4D9F-A299-28CC220510A0}"/>
            </a:ext>
          </a:extLst>
        </xdr:cNvPr>
        <xdr:cNvSpPr txBox="1"/>
      </xdr:nvSpPr>
      <xdr:spPr>
        <a:xfrm>
          <a:off x="6350" y="246313"/>
          <a:ext cx="12141200" cy="331537"/>
        </a:xfrm>
        <a:prstGeom prst="roundRect">
          <a:avLst/>
        </a:prstGeom>
        <a:solidFill>
          <a:srgbClr val="38323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D" sz="1400">
            <a:solidFill>
              <a:schemeClr val="bg1"/>
            </a:solidFill>
            <a:latin typeface="Britannic Bold" panose="020B0903060703020204" pitchFamily="34" charset="0"/>
          </a:endParaRPr>
        </a:p>
      </xdr:txBody>
    </xdr:sp>
    <xdr:clientData/>
  </xdr:twoCellAnchor>
  <xdr:twoCellAnchor>
    <xdr:from>
      <xdr:col>0</xdr:col>
      <xdr:colOff>854075</xdr:colOff>
      <xdr:row>2</xdr:row>
      <xdr:rowOff>168275</xdr:rowOff>
    </xdr:from>
    <xdr:to>
      <xdr:col>1</xdr:col>
      <xdr:colOff>3175</xdr:colOff>
      <xdr:row>4</xdr:row>
      <xdr:rowOff>85725</xdr:rowOff>
    </xdr:to>
    <xdr:sp macro="" textlink="">
      <xdr:nvSpPr>
        <xdr:cNvPr id="29" name="Isosceles Triangle 28">
          <a:hlinkClick xmlns:r="http://schemas.openxmlformats.org/officeDocument/2006/relationships" r:id="rId1"/>
          <a:extLst>
            <a:ext uri="{FF2B5EF4-FFF2-40B4-BE49-F238E27FC236}">
              <a16:creationId xmlns:a16="http://schemas.microsoft.com/office/drawing/2014/main" id="{86792E45-67D2-4EC3-B71E-D06611A81B58}"/>
            </a:ext>
          </a:extLst>
        </xdr:cNvPr>
        <xdr:cNvSpPr/>
      </xdr:nvSpPr>
      <xdr:spPr>
        <a:xfrm rot="16200000">
          <a:off x="819150" y="1352550"/>
          <a:ext cx="311150" cy="2413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44450</xdr:colOff>
      <xdr:row>5</xdr:row>
      <xdr:rowOff>120650</xdr:rowOff>
    </xdr:from>
    <xdr:to>
      <xdr:col>0</xdr:col>
      <xdr:colOff>1079518</xdr:colOff>
      <xdr:row>7</xdr:row>
      <xdr:rowOff>6350</xdr:rowOff>
    </xdr:to>
    <xdr:sp macro="" textlink="">
      <xdr:nvSpPr>
        <xdr:cNvPr id="30" name="Flowchart: Terminator 38">
          <a:hlinkClick xmlns:r="http://schemas.openxmlformats.org/officeDocument/2006/relationships" r:id="rId2"/>
          <a:extLst>
            <a:ext uri="{FF2B5EF4-FFF2-40B4-BE49-F238E27FC236}">
              <a16:creationId xmlns:a16="http://schemas.microsoft.com/office/drawing/2014/main" id="{BBA7F7BF-A690-4F52-AACD-1D412257CFB9}"/>
            </a:ext>
          </a:extLst>
        </xdr:cNvPr>
        <xdr:cNvSpPr/>
      </xdr:nvSpPr>
      <xdr:spPr>
        <a:xfrm>
          <a:off x="44450" y="1860550"/>
          <a:ext cx="1035068" cy="279400"/>
        </a:xfrm>
        <a:custGeom>
          <a:avLst/>
          <a:gdLst>
            <a:gd name="connsiteX0" fmla="*/ 3475 w 21600"/>
            <a:gd name="connsiteY0" fmla="*/ 0 h 21600"/>
            <a:gd name="connsiteX1" fmla="*/ 18125 w 21600"/>
            <a:gd name="connsiteY1" fmla="*/ 0 h 21600"/>
            <a:gd name="connsiteX2" fmla="*/ 21600 w 21600"/>
            <a:gd name="connsiteY2" fmla="*/ 10800 h 21600"/>
            <a:gd name="connsiteX3" fmla="*/ 18125 w 21600"/>
            <a:gd name="connsiteY3" fmla="*/ 21600 h 21600"/>
            <a:gd name="connsiteX4" fmla="*/ 3475 w 21600"/>
            <a:gd name="connsiteY4" fmla="*/ 21600 h 21600"/>
            <a:gd name="connsiteX5" fmla="*/ 0 w 21600"/>
            <a:gd name="connsiteY5" fmla="*/ 10800 h 21600"/>
            <a:gd name="connsiteX6" fmla="*/ 3475 w 21600"/>
            <a:gd name="connsiteY6" fmla="*/ 0 h 21600"/>
            <a:gd name="connsiteX0" fmla="*/ 3475 w 21083"/>
            <a:gd name="connsiteY0" fmla="*/ 0 h 21600"/>
            <a:gd name="connsiteX1" fmla="*/ 18125 w 21083"/>
            <a:gd name="connsiteY1" fmla="*/ 0 h 21600"/>
            <a:gd name="connsiteX2" fmla="*/ 21083 w 21083"/>
            <a:gd name="connsiteY2" fmla="*/ 11291 h 21600"/>
            <a:gd name="connsiteX3" fmla="*/ 18125 w 21083"/>
            <a:gd name="connsiteY3" fmla="*/ 21600 h 21600"/>
            <a:gd name="connsiteX4" fmla="*/ 3475 w 21083"/>
            <a:gd name="connsiteY4" fmla="*/ 21600 h 21600"/>
            <a:gd name="connsiteX5" fmla="*/ 0 w 21083"/>
            <a:gd name="connsiteY5" fmla="*/ 10800 h 21600"/>
            <a:gd name="connsiteX6" fmla="*/ 3475 w 21083"/>
            <a:gd name="connsiteY6" fmla="*/ 0 h 216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1083" h="21600">
              <a:moveTo>
                <a:pt x="3475" y="0"/>
              </a:moveTo>
              <a:lnTo>
                <a:pt x="18125" y="0"/>
              </a:lnTo>
              <a:cubicBezTo>
                <a:pt x="20044" y="0"/>
                <a:pt x="21083" y="5326"/>
                <a:pt x="21083" y="11291"/>
              </a:cubicBezTo>
              <a:cubicBezTo>
                <a:pt x="21083" y="17256"/>
                <a:pt x="20044" y="21600"/>
                <a:pt x="18125" y="21600"/>
              </a:cubicBezTo>
              <a:lnTo>
                <a:pt x="3475" y="21600"/>
              </a:lnTo>
              <a:cubicBezTo>
                <a:pt x="1556" y="21600"/>
                <a:pt x="0" y="16765"/>
                <a:pt x="0" y="10800"/>
              </a:cubicBezTo>
              <a:cubicBezTo>
                <a:pt x="0" y="4835"/>
                <a:pt x="1556" y="0"/>
                <a:pt x="3475" y="0"/>
              </a:cubicBezTo>
              <a:close/>
            </a:path>
          </a:pathLst>
        </a:custGeom>
        <a:solidFill>
          <a:srgbClr val="854621"/>
        </a:solidFill>
        <a:ln>
          <a:solidFill>
            <a:srgbClr val="38323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000">
              <a:solidFill>
                <a:schemeClr val="bg1"/>
              </a:solidFill>
              <a:latin typeface="Britannic Bold" panose="020B0903060703020204" pitchFamily="34" charset="0"/>
            </a:rPr>
            <a:t>DASHBOARD</a:t>
          </a:r>
        </a:p>
      </xdr:txBody>
    </xdr:sp>
    <xdr:clientData/>
  </xdr:twoCellAnchor>
  <xdr:twoCellAnchor>
    <xdr:from>
      <xdr:col>0</xdr:col>
      <xdr:colOff>847725</xdr:colOff>
      <xdr:row>5</xdr:row>
      <xdr:rowOff>117475</xdr:rowOff>
    </xdr:from>
    <xdr:to>
      <xdr:col>0</xdr:col>
      <xdr:colOff>1089025</xdr:colOff>
      <xdr:row>7</xdr:row>
      <xdr:rowOff>34925</xdr:rowOff>
    </xdr:to>
    <xdr:sp macro="" textlink="">
      <xdr:nvSpPr>
        <xdr:cNvPr id="31" name="Isosceles Triangle 30">
          <a:extLst>
            <a:ext uri="{FF2B5EF4-FFF2-40B4-BE49-F238E27FC236}">
              <a16:creationId xmlns:a16="http://schemas.microsoft.com/office/drawing/2014/main" id="{5AE0DB34-B233-4EDD-9589-D146EC9DA532}"/>
            </a:ext>
          </a:extLst>
        </xdr:cNvPr>
        <xdr:cNvSpPr/>
      </xdr:nvSpPr>
      <xdr:spPr>
        <a:xfrm rot="16200000">
          <a:off x="812800" y="1892300"/>
          <a:ext cx="311150" cy="241300"/>
        </a:xfrm>
        <a:prstGeom prst="triangle">
          <a:avLst/>
        </a:prstGeom>
        <a:solidFill>
          <a:srgbClr val="85462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228600</xdr:colOff>
      <xdr:row>1</xdr:row>
      <xdr:rowOff>179210</xdr:rowOff>
    </xdr:from>
    <xdr:to>
      <xdr:col>9</xdr:col>
      <xdr:colOff>223426</xdr:colOff>
      <xdr:row>14</xdr:row>
      <xdr:rowOff>58561</xdr:rowOff>
    </xdr:to>
    <xdr:graphicFrame macro="">
      <xdr:nvGraphicFramePr>
        <xdr:cNvPr id="33" name="Chart 32">
          <a:extLst>
            <a:ext uri="{FF2B5EF4-FFF2-40B4-BE49-F238E27FC236}">
              <a16:creationId xmlns:a16="http://schemas.microsoft.com/office/drawing/2014/main" id="{82DA1FF4-9563-4D43-8A38-C689BF1C3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6350</xdr:colOff>
      <xdr:row>1</xdr:row>
      <xdr:rowOff>133350</xdr:rowOff>
    </xdr:from>
    <xdr:to>
      <xdr:col>3</xdr:col>
      <xdr:colOff>139700</xdr:colOff>
      <xdr:row>14</xdr:row>
      <xdr:rowOff>88900</xdr:rowOff>
    </xdr:to>
    <mc:AlternateContent xmlns:mc="http://schemas.openxmlformats.org/markup-compatibility/2006" xmlns:a14="http://schemas.microsoft.com/office/drawing/2010/main">
      <mc:Choice Requires="a14">
        <xdr:graphicFrame macro="">
          <xdr:nvGraphicFramePr>
            <xdr:cNvPr id="34" name="Kabupaten 1">
              <a:extLst>
                <a:ext uri="{FF2B5EF4-FFF2-40B4-BE49-F238E27FC236}">
                  <a16:creationId xmlns:a16="http://schemas.microsoft.com/office/drawing/2014/main" id="{E4F42DE0-097B-4AB8-984C-266487CA3F88}"/>
                </a:ext>
              </a:extLst>
            </xdr:cNvPr>
            <xdr:cNvGraphicFramePr/>
          </xdr:nvGraphicFramePr>
          <xdr:xfrm>
            <a:off x="0" y="0"/>
            <a:ext cx="0" cy="0"/>
          </xdr:xfrm>
          <a:graphic>
            <a:graphicData uri="http://schemas.microsoft.com/office/drawing/2010/slicer">
              <sle:slicer xmlns:sle="http://schemas.microsoft.com/office/drawing/2010/slicer" name="Kabupaten 1"/>
            </a:graphicData>
          </a:graphic>
        </xdr:graphicFrame>
      </mc:Choice>
      <mc:Fallback xmlns="">
        <xdr:sp macro="" textlink="">
          <xdr:nvSpPr>
            <xdr:cNvPr id="0" name=""/>
            <xdr:cNvSpPr>
              <a:spLocks noTextEdit="1"/>
            </xdr:cNvSpPr>
          </xdr:nvSpPr>
          <xdr:spPr>
            <a:xfrm>
              <a:off x="1098550" y="1098550"/>
              <a:ext cx="1695450" cy="2362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158750</xdr:colOff>
      <xdr:row>0</xdr:row>
      <xdr:rowOff>133350</xdr:rowOff>
    </xdr:from>
    <xdr:to>
      <xdr:col>0</xdr:col>
      <xdr:colOff>990599</xdr:colOff>
      <xdr:row>0</xdr:row>
      <xdr:rowOff>793750</xdr:rowOff>
    </xdr:to>
    <xdr:pic>
      <xdr:nvPicPr>
        <xdr:cNvPr id="7" name="Graphic 6" descr="Statistics">
          <a:extLst>
            <a:ext uri="{FF2B5EF4-FFF2-40B4-BE49-F238E27FC236}">
              <a16:creationId xmlns:a16="http://schemas.microsoft.com/office/drawing/2014/main" id="{27F0878B-FC87-4C39-81D5-ED32E14BE11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rcRect/>
        <a:stretch/>
      </xdr:blipFill>
      <xdr:spPr>
        <a:xfrm>
          <a:off x="158750" y="133350"/>
          <a:ext cx="831849" cy="660400"/>
        </a:xfrm>
        <a:prstGeom prst="rect">
          <a:avLst/>
        </a:prstGeom>
      </xdr:spPr>
    </xdr:pic>
    <xdr:clientData/>
  </xdr:twoCellAnchor>
  <xdr:oneCellAnchor>
    <xdr:from>
      <xdr:col>2</xdr:col>
      <xdr:colOff>44450</xdr:colOff>
      <xdr:row>0</xdr:row>
      <xdr:rowOff>241300</xdr:rowOff>
    </xdr:from>
    <xdr:ext cx="3975100" cy="319639"/>
    <xdr:sp macro="" textlink="">
      <xdr:nvSpPr>
        <xdr:cNvPr id="3" name="TextBox 2">
          <a:extLst>
            <a:ext uri="{FF2B5EF4-FFF2-40B4-BE49-F238E27FC236}">
              <a16:creationId xmlns:a16="http://schemas.microsoft.com/office/drawing/2014/main" id="{E42C2B97-90C5-9231-AE8D-68932485E530}"/>
            </a:ext>
          </a:extLst>
        </xdr:cNvPr>
        <xdr:cNvSpPr txBox="1"/>
      </xdr:nvSpPr>
      <xdr:spPr>
        <a:xfrm>
          <a:off x="1365250" y="241300"/>
          <a:ext cx="3975100" cy="3196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1600" b="1" baseline="0">
              <a:solidFill>
                <a:schemeClr val="bg1"/>
              </a:solidFill>
              <a:latin typeface="Britannic Bold" panose="020B0903060703020204" pitchFamily="34" charset="0"/>
            </a:rPr>
            <a:t> PENYEBARAN BAHAN BAKAR MINYAK</a:t>
          </a:r>
          <a:endParaRPr lang="en-ID" sz="1600" b="1">
            <a:solidFill>
              <a:schemeClr val="bg1"/>
            </a:solidFill>
            <a:latin typeface="Britannic Bold" panose="020B0903060703020204" pitchFamily="34" charset="0"/>
          </a:endParaRPr>
        </a:p>
      </xdr:txBody>
    </xdr:sp>
    <xdr:clientData/>
  </xdr:oneCellAnchor>
  <xdr:twoCellAnchor>
    <xdr:from>
      <xdr:col>9</xdr:col>
      <xdr:colOff>339373</xdr:colOff>
      <xdr:row>1</xdr:row>
      <xdr:rowOff>165100</xdr:rowOff>
    </xdr:from>
    <xdr:to>
      <xdr:col>16</xdr:col>
      <xdr:colOff>101600</xdr:colOff>
      <xdr:row>14</xdr:row>
      <xdr:rowOff>76200</xdr:rowOff>
    </xdr:to>
    <xdr:graphicFrame macro="">
      <xdr:nvGraphicFramePr>
        <xdr:cNvPr id="4" name="Chart 3">
          <a:extLst>
            <a:ext uri="{FF2B5EF4-FFF2-40B4-BE49-F238E27FC236}">
              <a16:creationId xmlns:a16="http://schemas.microsoft.com/office/drawing/2014/main" id="{9DA126CE-CA1E-4757-A3C7-7A68B93EC9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1067536</xdr:colOff>
      <xdr:row>15</xdr:row>
      <xdr:rowOff>0</xdr:rowOff>
    </xdr:from>
    <xdr:to>
      <xdr:col>9</xdr:col>
      <xdr:colOff>209550</xdr:colOff>
      <xdr:row>29</xdr:row>
      <xdr:rowOff>166389</xdr:rowOff>
    </xdr:to>
    <xdr:graphicFrame macro="">
      <xdr:nvGraphicFramePr>
        <xdr:cNvPr id="5" name="Chart 4">
          <a:extLst>
            <a:ext uri="{FF2B5EF4-FFF2-40B4-BE49-F238E27FC236}">
              <a16:creationId xmlns:a16="http://schemas.microsoft.com/office/drawing/2014/main" id="{688AFF2C-964C-4E94-A3BA-82C70330D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307342</xdr:colOff>
      <xdr:row>4</xdr:row>
      <xdr:rowOff>29210</xdr:rowOff>
    </xdr:from>
    <xdr:to>
      <xdr:col>3</xdr:col>
      <xdr:colOff>469904</xdr:colOff>
      <xdr:row>8</xdr:row>
      <xdr:rowOff>133350</xdr:rowOff>
    </xdr:to>
    <xdr:sp macro="" textlink="">
      <xdr:nvSpPr>
        <xdr:cNvPr id="12" name="TextBox 11">
          <a:extLst>
            <a:ext uri="{FF2B5EF4-FFF2-40B4-BE49-F238E27FC236}">
              <a16:creationId xmlns:a16="http://schemas.microsoft.com/office/drawing/2014/main" id="{F51386C1-AA1F-B86D-61EC-2B3A4EDD0F28}"/>
            </a:ext>
          </a:extLst>
        </xdr:cNvPr>
        <xdr:cNvSpPr txBox="1"/>
      </xdr:nvSpPr>
      <xdr:spPr>
        <a:xfrm rot="16200000">
          <a:off x="2622553" y="1898649"/>
          <a:ext cx="840740" cy="162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200">
              <a:latin typeface="Berlin Sans FB" panose="020E0602020502020306" pitchFamily="34" charset="0"/>
              <a:cs typeface="Times New Roman" panose="02020603050405020304" pitchFamily="18" charset="0"/>
            </a:rPr>
            <a:t>Kiloliter</a:t>
          </a:r>
        </a:p>
      </xdr:txBody>
    </xdr:sp>
    <xdr:clientData/>
  </xdr:twoCellAnchor>
  <xdr:twoCellAnchor>
    <xdr:from>
      <xdr:col>9</xdr:col>
      <xdr:colOff>438150</xdr:colOff>
      <xdr:row>17</xdr:row>
      <xdr:rowOff>38100</xdr:rowOff>
    </xdr:from>
    <xdr:to>
      <xdr:col>13</xdr:col>
      <xdr:colOff>19050</xdr:colOff>
      <xdr:row>20</xdr:row>
      <xdr:rowOff>133350</xdr:rowOff>
    </xdr:to>
    <xdr:sp macro="" textlink="">
      <xdr:nvSpPr>
        <xdr:cNvPr id="17" name="Rectangle 16">
          <a:extLst>
            <a:ext uri="{FF2B5EF4-FFF2-40B4-BE49-F238E27FC236}">
              <a16:creationId xmlns:a16="http://schemas.microsoft.com/office/drawing/2014/main" id="{22D13B36-93FF-6585-8905-98FE99C713EE}"/>
            </a:ext>
          </a:extLst>
        </xdr:cNvPr>
        <xdr:cNvSpPr/>
      </xdr:nvSpPr>
      <xdr:spPr>
        <a:xfrm>
          <a:off x="7670800" y="3962400"/>
          <a:ext cx="2019300" cy="647700"/>
        </a:xfrm>
        <a:prstGeom prst="rect">
          <a:avLst/>
        </a:prstGeom>
        <a:solidFill>
          <a:srgbClr val="BFAEA4"/>
        </a:solidFill>
        <a:ln>
          <a:solidFill>
            <a:srgbClr val="38323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441930</xdr:colOff>
      <xdr:row>15</xdr:row>
      <xdr:rowOff>153458</xdr:rowOff>
    </xdr:from>
    <xdr:to>
      <xdr:col>13</xdr:col>
      <xdr:colOff>22830</xdr:colOff>
      <xdr:row>17</xdr:row>
      <xdr:rowOff>58208</xdr:rowOff>
    </xdr:to>
    <xdr:sp macro="" textlink="">
      <xdr:nvSpPr>
        <xdr:cNvPr id="19" name="TextBox 18">
          <a:extLst>
            <a:ext uri="{FF2B5EF4-FFF2-40B4-BE49-F238E27FC236}">
              <a16:creationId xmlns:a16="http://schemas.microsoft.com/office/drawing/2014/main" id="{F212E923-58BA-E1D7-D73E-4F73D61DCB5E}"/>
            </a:ext>
          </a:extLst>
        </xdr:cNvPr>
        <xdr:cNvSpPr txBox="1"/>
      </xdr:nvSpPr>
      <xdr:spPr>
        <a:xfrm>
          <a:off x="7676394" y="3721553"/>
          <a:ext cx="2015067" cy="275167"/>
        </a:xfrm>
        <a:prstGeom prst="rect">
          <a:avLst/>
        </a:prstGeom>
        <a:solidFill>
          <a:srgbClr val="38323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a:solidFill>
                <a:schemeClr val="bg1"/>
              </a:solidFill>
              <a:latin typeface="Berlin Sans FB" panose="020E0602020502020306" pitchFamily="34" charset="0"/>
            </a:rPr>
            <a:t>Bahan</a:t>
          </a:r>
          <a:r>
            <a:rPr lang="en-ID" sz="1100" baseline="0">
              <a:solidFill>
                <a:schemeClr val="bg1"/>
              </a:solidFill>
              <a:latin typeface="Berlin Sans FB" panose="020E0602020502020306" pitchFamily="34" charset="0"/>
            </a:rPr>
            <a:t> Bakar Terbanyak </a:t>
          </a:r>
          <a:endParaRPr lang="en-ID" sz="1100">
            <a:solidFill>
              <a:schemeClr val="bg1"/>
            </a:solidFill>
            <a:latin typeface="Berlin Sans FB" panose="020E0602020502020306" pitchFamily="34" charset="0"/>
          </a:endParaRPr>
        </a:p>
      </xdr:txBody>
    </xdr:sp>
    <xdr:clientData/>
  </xdr:twoCellAnchor>
  <xdr:twoCellAnchor>
    <xdr:from>
      <xdr:col>13</xdr:col>
      <xdr:colOff>190500</xdr:colOff>
      <xdr:row>17</xdr:row>
      <xdr:rowOff>44450</xdr:rowOff>
    </xdr:from>
    <xdr:to>
      <xdr:col>16</xdr:col>
      <xdr:colOff>194028</xdr:colOff>
      <xdr:row>20</xdr:row>
      <xdr:rowOff>139700</xdr:rowOff>
    </xdr:to>
    <xdr:sp macro="" textlink="">
      <xdr:nvSpPr>
        <xdr:cNvPr id="20" name="Rectangle 19">
          <a:extLst>
            <a:ext uri="{FF2B5EF4-FFF2-40B4-BE49-F238E27FC236}">
              <a16:creationId xmlns:a16="http://schemas.microsoft.com/office/drawing/2014/main" id="{0D193D22-D37F-4B9E-87B3-DEDE505EF905}"/>
            </a:ext>
          </a:extLst>
        </xdr:cNvPr>
        <xdr:cNvSpPr/>
      </xdr:nvSpPr>
      <xdr:spPr>
        <a:xfrm>
          <a:off x="9867194" y="3960283"/>
          <a:ext cx="1834445" cy="645584"/>
        </a:xfrm>
        <a:prstGeom prst="rect">
          <a:avLst/>
        </a:prstGeom>
        <a:solidFill>
          <a:srgbClr val="BFAEA4"/>
        </a:solidFill>
        <a:ln>
          <a:solidFill>
            <a:srgbClr val="38323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13</xdr:col>
      <xdr:colOff>181429</xdr:colOff>
      <xdr:row>15</xdr:row>
      <xdr:rowOff>152249</xdr:rowOff>
    </xdr:from>
    <xdr:to>
      <xdr:col>16</xdr:col>
      <xdr:colOff>208140</xdr:colOff>
      <xdr:row>17</xdr:row>
      <xdr:rowOff>56999</xdr:rowOff>
    </xdr:to>
    <xdr:sp macro="" textlink="">
      <xdr:nvSpPr>
        <xdr:cNvPr id="23" name="TextBox 22">
          <a:extLst>
            <a:ext uri="{FF2B5EF4-FFF2-40B4-BE49-F238E27FC236}">
              <a16:creationId xmlns:a16="http://schemas.microsoft.com/office/drawing/2014/main" id="{F48625E8-694A-4A7C-BC7D-D6AF24AF5548}"/>
            </a:ext>
          </a:extLst>
        </xdr:cNvPr>
        <xdr:cNvSpPr txBox="1"/>
      </xdr:nvSpPr>
      <xdr:spPr>
        <a:xfrm>
          <a:off x="9858123" y="3701193"/>
          <a:ext cx="1857628" cy="271639"/>
        </a:xfrm>
        <a:prstGeom prst="rect">
          <a:avLst/>
        </a:prstGeom>
        <a:solidFill>
          <a:srgbClr val="38323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a:solidFill>
                <a:schemeClr val="bg1"/>
              </a:solidFill>
              <a:latin typeface="Berlin Sans FB" panose="020E0602020502020306" pitchFamily="34" charset="0"/>
            </a:rPr>
            <a:t>   Kabupten</a:t>
          </a:r>
          <a:r>
            <a:rPr lang="en-ID" sz="1100" baseline="0">
              <a:solidFill>
                <a:schemeClr val="bg1"/>
              </a:solidFill>
              <a:latin typeface="Berlin Sans FB" panose="020E0602020502020306" pitchFamily="34" charset="0"/>
            </a:rPr>
            <a:t> terbanyak</a:t>
          </a:r>
          <a:endParaRPr lang="en-ID" sz="1100">
            <a:solidFill>
              <a:schemeClr val="bg1"/>
            </a:solidFill>
            <a:latin typeface="Berlin Sans FB" panose="020E0602020502020306" pitchFamily="34" charset="0"/>
          </a:endParaRPr>
        </a:p>
      </xdr:txBody>
    </xdr:sp>
    <xdr:clientData/>
  </xdr:twoCellAnchor>
  <xdr:twoCellAnchor>
    <xdr:from>
      <xdr:col>11</xdr:col>
      <xdr:colOff>241300</xdr:colOff>
      <xdr:row>23</xdr:row>
      <xdr:rowOff>171450</xdr:rowOff>
    </xdr:from>
    <xdr:to>
      <xdr:col>14</xdr:col>
      <xdr:colOff>508000</xdr:colOff>
      <xdr:row>28</xdr:row>
      <xdr:rowOff>0</xdr:rowOff>
    </xdr:to>
    <xdr:sp macro="" textlink="">
      <xdr:nvSpPr>
        <xdr:cNvPr id="24" name="Rectangle 23">
          <a:extLst>
            <a:ext uri="{FF2B5EF4-FFF2-40B4-BE49-F238E27FC236}">
              <a16:creationId xmlns:a16="http://schemas.microsoft.com/office/drawing/2014/main" id="{49EBDD8B-C276-40EE-BC50-3B219FAB6E85}"/>
            </a:ext>
          </a:extLst>
        </xdr:cNvPr>
        <xdr:cNvSpPr/>
      </xdr:nvSpPr>
      <xdr:spPr>
        <a:xfrm>
          <a:off x="8693150" y="5200650"/>
          <a:ext cx="2095500" cy="749300"/>
        </a:xfrm>
        <a:prstGeom prst="rect">
          <a:avLst/>
        </a:prstGeom>
        <a:solidFill>
          <a:srgbClr val="BFAEA4"/>
        </a:solidFill>
        <a:ln>
          <a:solidFill>
            <a:srgbClr val="38323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219377</xdr:colOff>
      <xdr:row>22</xdr:row>
      <xdr:rowOff>122767</xdr:rowOff>
    </xdr:from>
    <xdr:to>
      <xdr:col>14</xdr:col>
      <xdr:colOff>511477</xdr:colOff>
      <xdr:row>24</xdr:row>
      <xdr:rowOff>1059</xdr:rowOff>
    </xdr:to>
    <xdr:sp macro="" textlink="">
      <xdr:nvSpPr>
        <xdr:cNvPr id="26" name="TextBox 25">
          <a:extLst>
            <a:ext uri="{FF2B5EF4-FFF2-40B4-BE49-F238E27FC236}">
              <a16:creationId xmlns:a16="http://schemas.microsoft.com/office/drawing/2014/main" id="{04365B35-5BE0-4EE7-9F75-59461A072785}"/>
            </a:ext>
          </a:extLst>
        </xdr:cNvPr>
        <xdr:cNvSpPr txBox="1"/>
      </xdr:nvSpPr>
      <xdr:spPr>
        <a:xfrm>
          <a:off x="8670925" y="4987321"/>
          <a:ext cx="2117725" cy="248708"/>
        </a:xfrm>
        <a:prstGeom prst="rect">
          <a:avLst/>
        </a:prstGeom>
        <a:solidFill>
          <a:srgbClr val="38323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a:solidFill>
                <a:schemeClr val="bg1"/>
              </a:solidFill>
              <a:latin typeface="Berlin Sans FB" panose="020E0602020502020306" pitchFamily="34" charset="0"/>
            </a:rPr>
            <a:t>Total</a:t>
          </a:r>
          <a:r>
            <a:rPr lang="en-ID" sz="1100" baseline="0">
              <a:solidFill>
                <a:schemeClr val="bg1"/>
              </a:solidFill>
              <a:latin typeface="Berlin Sans FB" panose="020E0602020502020306" pitchFamily="34" charset="0"/>
            </a:rPr>
            <a:t> bahan bakar Minyak</a:t>
          </a:r>
          <a:endParaRPr lang="en-ID" sz="1100">
            <a:solidFill>
              <a:schemeClr val="bg1"/>
            </a:solidFill>
            <a:latin typeface="Berlin Sans FB" panose="020E0602020502020306" pitchFamily="34" charset="0"/>
          </a:endParaRPr>
        </a:p>
      </xdr:txBody>
    </xdr:sp>
    <xdr:clientData/>
  </xdr:twoCellAnchor>
  <xdr:twoCellAnchor>
    <xdr:from>
      <xdr:col>10</xdr:col>
      <xdr:colOff>196850</xdr:colOff>
      <xdr:row>17</xdr:row>
      <xdr:rowOff>95250</xdr:rowOff>
    </xdr:from>
    <xdr:to>
      <xdr:col>12</xdr:col>
      <xdr:colOff>228600</xdr:colOff>
      <xdr:row>20</xdr:row>
      <xdr:rowOff>0</xdr:rowOff>
    </xdr:to>
    <xdr:sp macro="" textlink="">
      <xdr:nvSpPr>
        <xdr:cNvPr id="27" name="TextBox 26">
          <a:extLst>
            <a:ext uri="{FF2B5EF4-FFF2-40B4-BE49-F238E27FC236}">
              <a16:creationId xmlns:a16="http://schemas.microsoft.com/office/drawing/2014/main" id="{B54CA00D-41CF-EF8B-9FAA-D37925C813BF}"/>
            </a:ext>
          </a:extLst>
        </xdr:cNvPr>
        <xdr:cNvSpPr txBox="1"/>
      </xdr:nvSpPr>
      <xdr:spPr>
        <a:xfrm>
          <a:off x="8039100" y="4019550"/>
          <a:ext cx="12509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a:latin typeface="Berlin Sans FB Demi" panose="020E0802020502020306" pitchFamily="34" charset="0"/>
            </a:rPr>
            <a:t>Premium</a:t>
          </a:r>
        </a:p>
      </xdr:txBody>
    </xdr:sp>
    <xdr:clientData/>
  </xdr:twoCellAnchor>
  <xdr:twoCellAnchor>
    <xdr:from>
      <xdr:col>13</xdr:col>
      <xdr:colOff>387350</xdr:colOff>
      <xdr:row>17</xdr:row>
      <xdr:rowOff>133350</xdr:rowOff>
    </xdr:from>
    <xdr:to>
      <xdr:col>16</xdr:col>
      <xdr:colOff>76200</xdr:colOff>
      <xdr:row>20</xdr:row>
      <xdr:rowOff>31750</xdr:rowOff>
    </xdr:to>
    <xdr:sp macro="" textlink="">
      <xdr:nvSpPr>
        <xdr:cNvPr id="32" name="TextBox 31">
          <a:extLst>
            <a:ext uri="{FF2B5EF4-FFF2-40B4-BE49-F238E27FC236}">
              <a16:creationId xmlns:a16="http://schemas.microsoft.com/office/drawing/2014/main" id="{BB198E27-4D28-9FE2-9B3E-4A2A4F831750}"/>
            </a:ext>
          </a:extLst>
        </xdr:cNvPr>
        <xdr:cNvSpPr txBox="1"/>
      </xdr:nvSpPr>
      <xdr:spPr>
        <a:xfrm>
          <a:off x="10058400" y="4057650"/>
          <a:ext cx="151765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400">
              <a:latin typeface="Berlin Sans FB Demi" panose="020E0802020502020306" pitchFamily="34" charset="0"/>
            </a:rPr>
            <a:t>Asahan</a:t>
          </a:r>
        </a:p>
      </xdr:txBody>
    </xdr:sp>
    <xdr:clientData/>
  </xdr:twoCellAnchor>
  <xdr:twoCellAnchor>
    <xdr:from>
      <xdr:col>11</xdr:col>
      <xdr:colOff>317500</xdr:colOff>
      <xdr:row>24</xdr:row>
      <xdr:rowOff>63500</xdr:rowOff>
    </xdr:from>
    <xdr:to>
      <xdr:col>14</xdr:col>
      <xdr:colOff>514350</xdr:colOff>
      <xdr:row>27</xdr:row>
      <xdr:rowOff>107950</xdr:rowOff>
    </xdr:to>
    <xdr:sp macro="" textlink="">
      <xdr:nvSpPr>
        <xdr:cNvPr id="35" name="TextBox 34">
          <a:extLst>
            <a:ext uri="{FF2B5EF4-FFF2-40B4-BE49-F238E27FC236}">
              <a16:creationId xmlns:a16="http://schemas.microsoft.com/office/drawing/2014/main" id="{51BFC95C-0768-767E-63AF-A243C7237F4E}"/>
            </a:ext>
          </a:extLst>
        </xdr:cNvPr>
        <xdr:cNvSpPr txBox="1"/>
      </xdr:nvSpPr>
      <xdr:spPr>
        <a:xfrm>
          <a:off x="8769350" y="5276850"/>
          <a:ext cx="2025650" cy="596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a:latin typeface="Berlin Sans FB Demi" panose="020E0802020502020306" pitchFamily="34" charset="0"/>
            </a:rPr>
            <a:t>730.787 Kiloliter</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0.01331</cdr:x>
      <cdr:y>0.21897</cdr:y>
    </cdr:from>
    <cdr:to>
      <cdr:x>0.05965</cdr:x>
      <cdr:y>0.45443</cdr:y>
    </cdr:to>
    <cdr:pic>
      <cdr:nvPicPr>
        <cdr:cNvPr id="2" name="chart">
          <a:extLst xmlns:a="http://schemas.openxmlformats.org/drawingml/2006/main">
            <a:ext uri="{FF2B5EF4-FFF2-40B4-BE49-F238E27FC236}">
              <a16:creationId xmlns:a16="http://schemas.microsoft.com/office/drawing/2014/main" id="{025CC0B5-4BA5-8A42-49F1-086FB10E01B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rot="16200000">
          <a:off x="-90550" y="776350"/>
          <a:ext cx="646216" cy="295413"/>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xdr:from>
      <xdr:col>6</xdr:col>
      <xdr:colOff>542344</xdr:colOff>
      <xdr:row>71</xdr:row>
      <xdr:rowOff>6856</xdr:rowOff>
    </xdr:from>
    <xdr:to>
      <xdr:col>14</xdr:col>
      <xdr:colOff>478550</xdr:colOff>
      <xdr:row>89</xdr:row>
      <xdr:rowOff>175626</xdr:rowOff>
    </xdr:to>
    <xdr:graphicFrame macro="">
      <xdr:nvGraphicFramePr>
        <xdr:cNvPr id="5" name="Chart 4">
          <a:extLst>
            <a:ext uri="{FF2B5EF4-FFF2-40B4-BE49-F238E27FC236}">
              <a16:creationId xmlns:a16="http://schemas.microsoft.com/office/drawing/2014/main" id="{2A634DF1-533B-2DFC-C160-42E6BCED4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18120</xdr:colOff>
      <xdr:row>47</xdr:row>
      <xdr:rowOff>108850</xdr:rowOff>
    </xdr:from>
    <xdr:to>
      <xdr:col>14</xdr:col>
      <xdr:colOff>386520</xdr:colOff>
      <xdr:row>67</xdr:row>
      <xdr:rowOff>153102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1BDC878-F5B7-5F37-82D0-B7DD15916F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447620" y="9056000"/>
              <a:ext cx="7239100" cy="3727252"/>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580619</xdr:colOff>
      <xdr:row>22</xdr:row>
      <xdr:rowOff>128561</xdr:rowOff>
    </xdr:from>
    <xdr:to>
      <xdr:col>14</xdr:col>
      <xdr:colOff>359166</xdr:colOff>
      <xdr:row>45</xdr:row>
      <xdr:rowOff>76235</xdr:rowOff>
    </xdr:to>
    <xdr:graphicFrame macro="">
      <xdr:nvGraphicFramePr>
        <xdr:cNvPr id="6" name="Chart 5">
          <a:extLst>
            <a:ext uri="{FF2B5EF4-FFF2-40B4-BE49-F238E27FC236}">
              <a16:creationId xmlns:a16="http://schemas.microsoft.com/office/drawing/2014/main" id="{08F753A9-A3F4-41CA-A732-0A55387A7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60420</xdr:colOff>
      <xdr:row>49</xdr:row>
      <xdr:rowOff>177857</xdr:rowOff>
    </xdr:from>
    <xdr:to>
      <xdr:col>14</xdr:col>
      <xdr:colOff>13805</xdr:colOff>
      <xdr:row>68</xdr:row>
      <xdr:rowOff>110435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5D135DE9-F120-EC39-1501-42C12335E6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039070" y="9594907"/>
              <a:ext cx="5509635" cy="3431428"/>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50205</xdr:colOff>
      <xdr:row>69</xdr:row>
      <xdr:rowOff>127000</xdr:rowOff>
    </xdr:from>
    <xdr:to>
      <xdr:col>14</xdr:col>
      <xdr:colOff>0</xdr:colOff>
      <xdr:row>88</xdr:row>
      <xdr:rowOff>578</xdr:rowOff>
    </xdr:to>
    <xdr:graphicFrame macro="">
      <xdr:nvGraphicFramePr>
        <xdr:cNvPr id="6" name="Chart 5">
          <a:extLst>
            <a:ext uri="{FF2B5EF4-FFF2-40B4-BE49-F238E27FC236}">
              <a16:creationId xmlns:a16="http://schemas.microsoft.com/office/drawing/2014/main" id="{FD279B8B-6CDB-24DB-9BAA-C04693BF3E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2</xdr:row>
      <xdr:rowOff>0</xdr:rowOff>
    </xdr:from>
    <xdr:to>
      <xdr:col>9</xdr:col>
      <xdr:colOff>543278</xdr:colOff>
      <xdr:row>21</xdr:row>
      <xdr:rowOff>173973</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856866E-0CB2-48C2-80FA-4FB3F2BD6A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 y="368300"/>
              <a:ext cx="6029677" cy="3672823"/>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0</xdr:colOff>
      <xdr:row>2</xdr:row>
      <xdr:rowOff>0</xdr:rowOff>
    </xdr:from>
    <xdr:to>
      <xdr:col>21</xdr:col>
      <xdr:colOff>84044</xdr:colOff>
      <xdr:row>21</xdr:row>
      <xdr:rowOff>169334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A6FFA47-A336-49A3-8D12-29D6B871F3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705600" y="368300"/>
              <a:ext cx="6180044" cy="3668184"/>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6350</xdr:colOff>
      <xdr:row>0</xdr:row>
      <xdr:rowOff>266700</xdr:rowOff>
    </xdr:from>
    <xdr:to>
      <xdr:col>16</xdr:col>
      <xdr:colOff>603250</xdr:colOff>
      <xdr:row>0</xdr:row>
      <xdr:rowOff>596900</xdr:rowOff>
    </xdr:to>
    <xdr:sp macro="" textlink="">
      <xdr:nvSpPr>
        <xdr:cNvPr id="7" name="Rectangle: Rounded Corners 6">
          <a:extLst>
            <a:ext uri="{FF2B5EF4-FFF2-40B4-BE49-F238E27FC236}">
              <a16:creationId xmlns:a16="http://schemas.microsoft.com/office/drawing/2014/main" id="{CA7CB6DB-B367-81CE-1988-4AC2E860FB3E}"/>
            </a:ext>
          </a:extLst>
        </xdr:cNvPr>
        <xdr:cNvSpPr/>
      </xdr:nvSpPr>
      <xdr:spPr>
        <a:xfrm>
          <a:off x="6350" y="266700"/>
          <a:ext cx="12096750" cy="330200"/>
        </a:xfrm>
        <a:prstGeom prst="roundRect">
          <a:avLst/>
        </a:prstGeom>
        <a:solidFill>
          <a:srgbClr val="38323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57150</xdr:colOff>
      <xdr:row>2</xdr:row>
      <xdr:rowOff>158750</xdr:rowOff>
    </xdr:from>
    <xdr:to>
      <xdr:col>0</xdr:col>
      <xdr:colOff>1073150</xdr:colOff>
      <xdr:row>4</xdr:row>
      <xdr:rowOff>44450</xdr:rowOff>
    </xdr:to>
    <xdr:sp macro="" textlink="">
      <xdr:nvSpPr>
        <xdr:cNvPr id="39" name="Flowchart: Terminator 38">
          <a:extLst>
            <a:ext uri="{FF2B5EF4-FFF2-40B4-BE49-F238E27FC236}">
              <a16:creationId xmlns:a16="http://schemas.microsoft.com/office/drawing/2014/main" id="{64C92C12-FD5E-E10B-8B6E-A77A8325F046}"/>
            </a:ext>
          </a:extLst>
        </xdr:cNvPr>
        <xdr:cNvSpPr/>
      </xdr:nvSpPr>
      <xdr:spPr>
        <a:xfrm>
          <a:off x="57150" y="1308100"/>
          <a:ext cx="1016000" cy="279400"/>
        </a:xfrm>
        <a:custGeom>
          <a:avLst/>
          <a:gdLst>
            <a:gd name="connsiteX0" fmla="*/ 3475 w 21600"/>
            <a:gd name="connsiteY0" fmla="*/ 0 h 21600"/>
            <a:gd name="connsiteX1" fmla="*/ 18125 w 21600"/>
            <a:gd name="connsiteY1" fmla="*/ 0 h 21600"/>
            <a:gd name="connsiteX2" fmla="*/ 21600 w 21600"/>
            <a:gd name="connsiteY2" fmla="*/ 10800 h 21600"/>
            <a:gd name="connsiteX3" fmla="*/ 18125 w 21600"/>
            <a:gd name="connsiteY3" fmla="*/ 21600 h 21600"/>
            <a:gd name="connsiteX4" fmla="*/ 3475 w 21600"/>
            <a:gd name="connsiteY4" fmla="*/ 21600 h 21600"/>
            <a:gd name="connsiteX5" fmla="*/ 0 w 21600"/>
            <a:gd name="connsiteY5" fmla="*/ 10800 h 21600"/>
            <a:gd name="connsiteX6" fmla="*/ 3475 w 21600"/>
            <a:gd name="connsiteY6" fmla="*/ 0 h 21600"/>
            <a:gd name="connsiteX0" fmla="*/ 3475 w 21083"/>
            <a:gd name="connsiteY0" fmla="*/ 0 h 21600"/>
            <a:gd name="connsiteX1" fmla="*/ 18125 w 21083"/>
            <a:gd name="connsiteY1" fmla="*/ 0 h 21600"/>
            <a:gd name="connsiteX2" fmla="*/ 21083 w 21083"/>
            <a:gd name="connsiteY2" fmla="*/ 11291 h 21600"/>
            <a:gd name="connsiteX3" fmla="*/ 18125 w 21083"/>
            <a:gd name="connsiteY3" fmla="*/ 21600 h 21600"/>
            <a:gd name="connsiteX4" fmla="*/ 3475 w 21083"/>
            <a:gd name="connsiteY4" fmla="*/ 21600 h 21600"/>
            <a:gd name="connsiteX5" fmla="*/ 0 w 21083"/>
            <a:gd name="connsiteY5" fmla="*/ 10800 h 21600"/>
            <a:gd name="connsiteX6" fmla="*/ 3475 w 21083"/>
            <a:gd name="connsiteY6" fmla="*/ 0 h 216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1083" h="21600">
              <a:moveTo>
                <a:pt x="3475" y="0"/>
              </a:moveTo>
              <a:lnTo>
                <a:pt x="18125" y="0"/>
              </a:lnTo>
              <a:cubicBezTo>
                <a:pt x="20044" y="0"/>
                <a:pt x="21083" y="5326"/>
                <a:pt x="21083" y="11291"/>
              </a:cubicBezTo>
              <a:cubicBezTo>
                <a:pt x="21083" y="17256"/>
                <a:pt x="20044" y="21600"/>
                <a:pt x="18125" y="21600"/>
              </a:cubicBezTo>
              <a:lnTo>
                <a:pt x="3475" y="21600"/>
              </a:lnTo>
              <a:cubicBezTo>
                <a:pt x="1556" y="21600"/>
                <a:pt x="0" y="16765"/>
                <a:pt x="0" y="10800"/>
              </a:cubicBezTo>
              <a:cubicBezTo>
                <a:pt x="0" y="4835"/>
                <a:pt x="1556" y="0"/>
                <a:pt x="3475" y="0"/>
              </a:cubicBezTo>
              <a:close/>
            </a:path>
          </a:pathLst>
        </a:custGeom>
        <a:solidFill>
          <a:srgbClr val="854621"/>
        </a:solidFill>
        <a:ln>
          <a:solidFill>
            <a:srgbClr val="38323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200">
              <a:solidFill>
                <a:schemeClr val="bg1"/>
              </a:solidFill>
              <a:latin typeface="Britannic Bold" panose="020B0903060703020204" pitchFamily="34" charset="0"/>
            </a:rPr>
            <a:t>INPUT</a:t>
          </a:r>
        </a:p>
      </xdr:txBody>
    </xdr:sp>
    <xdr:clientData/>
  </xdr:twoCellAnchor>
  <xdr:twoCellAnchor>
    <xdr:from>
      <xdr:col>13</xdr:col>
      <xdr:colOff>515532</xdr:colOff>
      <xdr:row>2</xdr:row>
      <xdr:rowOff>120650</xdr:rowOff>
    </xdr:from>
    <xdr:to>
      <xdr:col>15</xdr:col>
      <xdr:colOff>596899</xdr:colOff>
      <xdr:row>6</xdr:row>
      <xdr:rowOff>139700</xdr:rowOff>
    </xdr:to>
    <xdr:sp macro="" textlink="">
      <xdr:nvSpPr>
        <xdr:cNvPr id="37" name="Rectangle: Rounded Corners 36">
          <a:extLst>
            <a:ext uri="{FF2B5EF4-FFF2-40B4-BE49-F238E27FC236}">
              <a16:creationId xmlns:a16="http://schemas.microsoft.com/office/drawing/2014/main" id="{77A5B7F4-D31C-43EE-939E-0574B7FB4F2C}"/>
            </a:ext>
          </a:extLst>
        </xdr:cNvPr>
        <xdr:cNvSpPr/>
      </xdr:nvSpPr>
      <xdr:spPr>
        <a:xfrm>
          <a:off x="10186582" y="1270000"/>
          <a:ext cx="1300567" cy="806450"/>
        </a:xfrm>
        <a:prstGeom prst="roundRect">
          <a:avLst/>
        </a:prstGeom>
        <a:solidFill>
          <a:srgbClr val="38323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13</xdr:col>
      <xdr:colOff>558799</xdr:colOff>
      <xdr:row>8</xdr:row>
      <xdr:rowOff>85198</xdr:rowOff>
    </xdr:from>
    <xdr:to>
      <xdr:col>16</xdr:col>
      <xdr:colOff>57150</xdr:colOff>
      <xdr:row>12</xdr:row>
      <xdr:rowOff>31750</xdr:rowOff>
    </xdr:to>
    <xdr:sp macro="" textlink="">
      <xdr:nvSpPr>
        <xdr:cNvPr id="38" name="Rectangle: Rounded Corners 37">
          <a:extLst>
            <a:ext uri="{FF2B5EF4-FFF2-40B4-BE49-F238E27FC236}">
              <a16:creationId xmlns:a16="http://schemas.microsoft.com/office/drawing/2014/main" id="{9F06C7B8-F659-4B79-907D-DA73374CC1FF}"/>
            </a:ext>
          </a:extLst>
        </xdr:cNvPr>
        <xdr:cNvSpPr/>
      </xdr:nvSpPr>
      <xdr:spPr>
        <a:xfrm>
          <a:off x="10229849" y="2415648"/>
          <a:ext cx="1327151" cy="733952"/>
        </a:xfrm>
        <a:prstGeom prst="roundRect">
          <a:avLst/>
        </a:prstGeom>
        <a:solidFill>
          <a:srgbClr val="38323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412262</xdr:colOff>
      <xdr:row>8</xdr:row>
      <xdr:rowOff>70827</xdr:rowOff>
    </xdr:from>
    <xdr:to>
      <xdr:col>13</xdr:col>
      <xdr:colOff>0</xdr:colOff>
      <xdr:row>12</xdr:row>
      <xdr:rowOff>31750</xdr:rowOff>
    </xdr:to>
    <xdr:sp macro="" textlink="">
      <xdr:nvSpPr>
        <xdr:cNvPr id="36" name="Rectangle: Rounded Corners 35">
          <a:extLst>
            <a:ext uri="{FF2B5EF4-FFF2-40B4-BE49-F238E27FC236}">
              <a16:creationId xmlns:a16="http://schemas.microsoft.com/office/drawing/2014/main" id="{4BAB7218-2DB8-4A91-8854-A9402039ADAC}"/>
            </a:ext>
          </a:extLst>
        </xdr:cNvPr>
        <xdr:cNvSpPr/>
      </xdr:nvSpPr>
      <xdr:spPr>
        <a:xfrm>
          <a:off x="8254512" y="2401277"/>
          <a:ext cx="1416538" cy="748323"/>
        </a:xfrm>
        <a:prstGeom prst="roundRect">
          <a:avLst/>
        </a:prstGeom>
        <a:solidFill>
          <a:srgbClr val="38323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95250</xdr:colOff>
      <xdr:row>0</xdr:row>
      <xdr:rowOff>152400</xdr:rowOff>
    </xdr:from>
    <xdr:to>
      <xdr:col>0</xdr:col>
      <xdr:colOff>1016000</xdr:colOff>
      <xdr:row>0</xdr:row>
      <xdr:rowOff>704850</xdr:rowOff>
    </xdr:to>
    <xdr:sp macro="" textlink="">
      <xdr:nvSpPr>
        <xdr:cNvPr id="2" name="TextBox 1">
          <a:extLst>
            <a:ext uri="{FF2B5EF4-FFF2-40B4-BE49-F238E27FC236}">
              <a16:creationId xmlns:a16="http://schemas.microsoft.com/office/drawing/2014/main" id="{7CBC794A-F27E-F918-256E-A72EF8821C80}"/>
            </a:ext>
          </a:extLst>
        </xdr:cNvPr>
        <xdr:cNvSpPr txBox="1"/>
      </xdr:nvSpPr>
      <xdr:spPr>
        <a:xfrm>
          <a:off x="95250" y="152400"/>
          <a:ext cx="92075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D" sz="1100"/>
        </a:p>
      </xdr:txBody>
    </xdr:sp>
    <xdr:clientData/>
  </xdr:twoCellAnchor>
  <xdr:twoCellAnchor editAs="oneCell">
    <xdr:from>
      <xdr:col>0</xdr:col>
      <xdr:colOff>127000</xdr:colOff>
      <xdr:row>0</xdr:row>
      <xdr:rowOff>19050</xdr:rowOff>
    </xdr:from>
    <xdr:to>
      <xdr:col>0</xdr:col>
      <xdr:colOff>965200</xdr:colOff>
      <xdr:row>0</xdr:row>
      <xdr:rowOff>857250</xdr:rowOff>
    </xdr:to>
    <xdr:pic>
      <xdr:nvPicPr>
        <xdr:cNvPr id="3" name="Graphic 2" descr="Upward trend">
          <a:extLst>
            <a:ext uri="{FF2B5EF4-FFF2-40B4-BE49-F238E27FC236}">
              <a16:creationId xmlns:a16="http://schemas.microsoft.com/office/drawing/2014/main" id="{E01AFD28-5E27-49C7-8EE9-1CCA019CB9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127000" y="19050"/>
          <a:ext cx="838200" cy="838200"/>
        </a:xfrm>
        <a:prstGeom prst="rect">
          <a:avLst/>
        </a:prstGeom>
      </xdr:spPr>
    </xdr:pic>
    <xdr:clientData/>
  </xdr:twoCellAnchor>
  <xdr:twoCellAnchor>
    <xdr:from>
      <xdr:col>0</xdr:col>
      <xdr:colOff>139700</xdr:colOff>
      <xdr:row>0</xdr:row>
      <xdr:rowOff>787400</xdr:rowOff>
    </xdr:from>
    <xdr:to>
      <xdr:col>0</xdr:col>
      <xdr:colOff>920750</xdr:colOff>
      <xdr:row>1</xdr:row>
      <xdr:rowOff>19050</xdr:rowOff>
    </xdr:to>
    <xdr:sp macro="" textlink="">
      <xdr:nvSpPr>
        <xdr:cNvPr id="4" name="TextBox 3">
          <a:extLst>
            <a:ext uri="{FF2B5EF4-FFF2-40B4-BE49-F238E27FC236}">
              <a16:creationId xmlns:a16="http://schemas.microsoft.com/office/drawing/2014/main" id="{9C2716E8-969D-7086-58AE-610B5CBFF455}"/>
            </a:ext>
          </a:extLst>
        </xdr:cNvPr>
        <xdr:cNvSpPr txBox="1"/>
      </xdr:nvSpPr>
      <xdr:spPr>
        <a:xfrm>
          <a:off x="139700" y="787400"/>
          <a:ext cx="781050" cy="196850"/>
        </a:xfrm>
        <a:prstGeom prst="roundRect">
          <a:avLst/>
        </a:prstGeom>
        <a:solidFill>
          <a:srgbClr val="38323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a:solidFill>
                <a:schemeClr val="bg1"/>
              </a:solidFill>
              <a:latin typeface="Britannic Bold" panose="020B0903060703020204" pitchFamily="34" charset="0"/>
            </a:rPr>
            <a:t>2022</a:t>
          </a:r>
        </a:p>
      </xdr:txBody>
    </xdr:sp>
    <xdr:clientData/>
  </xdr:twoCellAnchor>
  <xdr:twoCellAnchor>
    <xdr:from>
      <xdr:col>10</xdr:col>
      <xdr:colOff>394882</xdr:colOff>
      <xdr:row>2</xdr:row>
      <xdr:rowOff>107950</xdr:rowOff>
    </xdr:from>
    <xdr:to>
      <xdr:col>12</xdr:col>
      <xdr:colOff>495299</xdr:colOff>
      <xdr:row>6</xdr:row>
      <xdr:rowOff>128671</xdr:rowOff>
    </xdr:to>
    <xdr:sp macro="" textlink="">
      <xdr:nvSpPr>
        <xdr:cNvPr id="11" name="Rectangle: Rounded Corners 10">
          <a:extLst>
            <a:ext uri="{FF2B5EF4-FFF2-40B4-BE49-F238E27FC236}">
              <a16:creationId xmlns:a16="http://schemas.microsoft.com/office/drawing/2014/main" id="{00D787F6-0D09-4E2A-8733-F3EA4E77C1E5}"/>
            </a:ext>
          </a:extLst>
        </xdr:cNvPr>
        <xdr:cNvSpPr/>
      </xdr:nvSpPr>
      <xdr:spPr>
        <a:xfrm>
          <a:off x="8237132" y="1257300"/>
          <a:ext cx="1319617" cy="808121"/>
        </a:xfrm>
        <a:prstGeom prst="roundRect">
          <a:avLst/>
        </a:prstGeom>
        <a:solidFill>
          <a:srgbClr val="38323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178134</xdr:colOff>
      <xdr:row>2</xdr:row>
      <xdr:rowOff>87898</xdr:rowOff>
    </xdr:from>
    <xdr:to>
      <xdr:col>13</xdr:col>
      <xdr:colOff>38434</xdr:colOff>
      <xdr:row>3</xdr:row>
      <xdr:rowOff>138698</xdr:rowOff>
    </xdr:to>
    <xdr:sp macro="" textlink="">
      <xdr:nvSpPr>
        <xdr:cNvPr id="17" name="TextBox 16">
          <a:extLst>
            <a:ext uri="{FF2B5EF4-FFF2-40B4-BE49-F238E27FC236}">
              <a16:creationId xmlns:a16="http://schemas.microsoft.com/office/drawing/2014/main" id="{0CA591F9-B848-9A24-9101-81CD15688DC4}"/>
            </a:ext>
          </a:extLst>
        </xdr:cNvPr>
        <xdr:cNvSpPr txBox="1"/>
      </xdr:nvSpPr>
      <xdr:spPr>
        <a:xfrm>
          <a:off x="8020384" y="1237248"/>
          <a:ext cx="16891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000">
              <a:solidFill>
                <a:schemeClr val="bg1"/>
              </a:solidFill>
              <a:latin typeface="Britannic Bold" panose="020B0903060703020204" pitchFamily="34" charset="0"/>
            </a:rPr>
            <a:t>Premium</a:t>
          </a:r>
          <a:endParaRPr lang="en-ID" sz="1100">
            <a:solidFill>
              <a:schemeClr val="bg1"/>
            </a:solidFill>
            <a:latin typeface="Britannic Bold" panose="020B0903060703020204" pitchFamily="34" charset="0"/>
          </a:endParaRPr>
        </a:p>
      </xdr:txBody>
    </xdr:sp>
    <xdr:clientData/>
  </xdr:twoCellAnchor>
  <xdr:twoCellAnchor>
    <xdr:from>
      <xdr:col>11</xdr:col>
      <xdr:colOff>53808</xdr:colOff>
      <xdr:row>1</xdr:row>
      <xdr:rowOff>158750</xdr:rowOff>
    </xdr:from>
    <xdr:to>
      <xdr:col>13</xdr:col>
      <xdr:colOff>6350</xdr:colOff>
      <xdr:row>4</xdr:row>
      <xdr:rowOff>190500</xdr:rowOff>
    </xdr:to>
    <xdr:graphicFrame macro="">
      <xdr:nvGraphicFramePr>
        <xdr:cNvPr id="18" name="Chart 17">
          <a:extLst>
            <a:ext uri="{FF2B5EF4-FFF2-40B4-BE49-F238E27FC236}">
              <a16:creationId xmlns:a16="http://schemas.microsoft.com/office/drawing/2014/main" id="{2AC1B8ED-4B22-4C8D-AABE-16D935F4C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508000</xdr:colOff>
      <xdr:row>8</xdr:row>
      <xdr:rowOff>63500</xdr:rowOff>
    </xdr:from>
    <xdr:to>
      <xdr:col>12</xdr:col>
      <xdr:colOff>393700</xdr:colOff>
      <xdr:row>9</xdr:row>
      <xdr:rowOff>139700</xdr:rowOff>
    </xdr:to>
    <xdr:sp macro="" textlink="">
      <xdr:nvSpPr>
        <xdr:cNvPr id="21" name="TextBox 20">
          <a:extLst>
            <a:ext uri="{FF2B5EF4-FFF2-40B4-BE49-F238E27FC236}">
              <a16:creationId xmlns:a16="http://schemas.microsoft.com/office/drawing/2014/main" id="{CD300B80-9BC2-1926-6DCA-952180CD543F}"/>
            </a:ext>
          </a:extLst>
        </xdr:cNvPr>
        <xdr:cNvSpPr txBox="1"/>
      </xdr:nvSpPr>
      <xdr:spPr>
        <a:xfrm>
          <a:off x="8350250" y="2393950"/>
          <a:ext cx="1104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200">
              <a:solidFill>
                <a:schemeClr val="bg1"/>
              </a:solidFill>
              <a:latin typeface="Britannic Bold" panose="020B0903060703020204" pitchFamily="34" charset="0"/>
            </a:rPr>
            <a:t>Biosolar</a:t>
          </a:r>
        </a:p>
      </xdr:txBody>
    </xdr:sp>
    <xdr:clientData/>
  </xdr:twoCellAnchor>
  <xdr:twoCellAnchor>
    <xdr:from>
      <xdr:col>11</xdr:col>
      <xdr:colOff>64900</xdr:colOff>
      <xdr:row>7</xdr:row>
      <xdr:rowOff>187057</xdr:rowOff>
    </xdr:from>
    <xdr:to>
      <xdr:col>13</xdr:col>
      <xdr:colOff>7750</xdr:colOff>
      <xdr:row>10</xdr:row>
      <xdr:rowOff>130875</xdr:rowOff>
    </xdr:to>
    <xdr:graphicFrame macro="">
      <xdr:nvGraphicFramePr>
        <xdr:cNvPr id="22" name="Chart 21">
          <a:extLst>
            <a:ext uri="{FF2B5EF4-FFF2-40B4-BE49-F238E27FC236}">
              <a16:creationId xmlns:a16="http://schemas.microsoft.com/office/drawing/2014/main" id="{91AD3DD2-BF87-4B85-9DEC-4F948EF23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0</xdr:colOff>
      <xdr:row>2</xdr:row>
      <xdr:rowOff>171450</xdr:rowOff>
    </xdr:from>
    <xdr:to>
      <xdr:col>15</xdr:col>
      <xdr:colOff>438150</xdr:colOff>
      <xdr:row>4</xdr:row>
      <xdr:rowOff>31750</xdr:rowOff>
    </xdr:to>
    <xdr:sp macro="" textlink="">
      <xdr:nvSpPr>
        <xdr:cNvPr id="23" name="TextBox 22">
          <a:extLst>
            <a:ext uri="{FF2B5EF4-FFF2-40B4-BE49-F238E27FC236}">
              <a16:creationId xmlns:a16="http://schemas.microsoft.com/office/drawing/2014/main" id="{0958A775-8C8E-E50E-78A2-04CA804165F7}"/>
            </a:ext>
          </a:extLst>
        </xdr:cNvPr>
        <xdr:cNvSpPr txBox="1"/>
      </xdr:nvSpPr>
      <xdr:spPr>
        <a:xfrm>
          <a:off x="10280650" y="1320800"/>
          <a:ext cx="10477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a:solidFill>
                <a:schemeClr val="bg1"/>
              </a:solidFill>
              <a:latin typeface="Britannic Bold" panose="020B0903060703020204" pitchFamily="34" charset="0"/>
            </a:rPr>
            <a:t>Minyak</a:t>
          </a:r>
          <a:r>
            <a:rPr lang="en-ID" sz="1100" baseline="0">
              <a:solidFill>
                <a:schemeClr val="bg1"/>
              </a:solidFill>
              <a:latin typeface="Britannic Bold" panose="020B0903060703020204" pitchFamily="34" charset="0"/>
            </a:rPr>
            <a:t> Tanah</a:t>
          </a:r>
          <a:endParaRPr lang="en-ID" sz="1100">
            <a:solidFill>
              <a:schemeClr val="bg1"/>
            </a:solidFill>
            <a:latin typeface="Britannic Bold" panose="020B0903060703020204" pitchFamily="34" charset="0"/>
          </a:endParaRPr>
        </a:p>
      </xdr:txBody>
    </xdr:sp>
    <xdr:clientData/>
  </xdr:twoCellAnchor>
  <xdr:twoCellAnchor>
    <xdr:from>
      <xdr:col>14</xdr:col>
      <xdr:colOff>184150</xdr:colOff>
      <xdr:row>8</xdr:row>
      <xdr:rowOff>76200</xdr:rowOff>
    </xdr:from>
    <xdr:to>
      <xdr:col>15</xdr:col>
      <xdr:colOff>387350</xdr:colOff>
      <xdr:row>9</xdr:row>
      <xdr:rowOff>114300</xdr:rowOff>
    </xdr:to>
    <xdr:sp macro="" textlink="">
      <xdr:nvSpPr>
        <xdr:cNvPr id="24" name="TextBox 23">
          <a:extLst>
            <a:ext uri="{FF2B5EF4-FFF2-40B4-BE49-F238E27FC236}">
              <a16:creationId xmlns:a16="http://schemas.microsoft.com/office/drawing/2014/main" id="{9B946498-DD6A-C13A-2C1A-4CB1037C6D1B}"/>
            </a:ext>
          </a:extLst>
        </xdr:cNvPr>
        <xdr:cNvSpPr txBox="1"/>
      </xdr:nvSpPr>
      <xdr:spPr>
        <a:xfrm>
          <a:off x="10464800" y="2406650"/>
          <a:ext cx="8128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200">
              <a:solidFill>
                <a:schemeClr val="bg1"/>
              </a:solidFill>
              <a:latin typeface="Britannic Bold" panose="020B0903060703020204" pitchFamily="34" charset="0"/>
            </a:rPr>
            <a:t>LPG</a:t>
          </a:r>
        </a:p>
      </xdr:txBody>
    </xdr:sp>
    <xdr:clientData/>
  </xdr:twoCellAnchor>
  <xdr:twoCellAnchor>
    <xdr:from>
      <xdr:col>13</xdr:col>
      <xdr:colOff>488950</xdr:colOff>
      <xdr:row>3</xdr:row>
      <xdr:rowOff>6350</xdr:rowOff>
    </xdr:from>
    <xdr:to>
      <xdr:col>15</xdr:col>
      <xdr:colOff>292100</xdr:colOff>
      <xdr:row>5</xdr:row>
      <xdr:rowOff>120650</xdr:rowOff>
    </xdr:to>
    <xdr:graphicFrame macro="">
      <xdr:nvGraphicFramePr>
        <xdr:cNvPr id="25" name="Chart 24">
          <a:extLst>
            <a:ext uri="{FF2B5EF4-FFF2-40B4-BE49-F238E27FC236}">
              <a16:creationId xmlns:a16="http://schemas.microsoft.com/office/drawing/2014/main" id="{53B1D8DC-CB20-46B3-885F-54CAB1F71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25400</xdr:colOff>
      <xdr:row>7</xdr:row>
      <xdr:rowOff>177800</xdr:rowOff>
    </xdr:from>
    <xdr:to>
      <xdr:col>16</xdr:col>
      <xdr:colOff>114300</xdr:colOff>
      <xdr:row>10</xdr:row>
      <xdr:rowOff>127000</xdr:rowOff>
    </xdr:to>
    <xdr:graphicFrame macro="">
      <xdr:nvGraphicFramePr>
        <xdr:cNvPr id="26" name="Chart 25">
          <a:extLst>
            <a:ext uri="{FF2B5EF4-FFF2-40B4-BE49-F238E27FC236}">
              <a16:creationId xmlns:a16="http://schemas.microsoft.com/office/drawing/2014/main" id="{8195AE8F-89C2-417F-82C1-C5374FF53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602247</xdr:colOff>
      <xdr:row>5</xdr:row>
      <xdr:rowOff>82217</xdr:rowOff>
    </xdr:from>
    <xdr:to>
      <xdr:col>12</xdr:col>
      <xdr:colOff>285750</xdr:colOff>
      <xdr:row>6</xdr:row>
      <xdr:rowOff>31750</xdr:rowOff>
    </xdr:to>
    <xdr:sp macro="" textlink="">
      <xdr:nvSpPr>
        <xdr:cNvPr id="28" name="TextBox 27">
          <a:extLst>
            <a:ext uri="{FF2B5EF4-FFF2-40B4-BE49-F238E27FC236}">
              <a16:creationId xmlns:a16="http://schemas.microsoft.com/office/drawing/2014/main" id="{51492F43-610B-B525-C571-45715CC1704F}"/>
            </a:ext>
          </a:extLst>
        </xdr:cNvPr>
        <xdr:cNvSpPr txBox="1"/>
      </xdr:nvSpPr>
      <xdr:spPr>
        <a:xfrm>
          <a:off x="8444497" y="1822117"/>
          <a:ext cx="902703" cy="146383"/>
        </a:xfrm>
        <a:prstGeom prst="rect">
          <a:avLst/>
        </a:prstGeom>
        <a:noFill/>
        <a:ln w="19050" cmpd="sng">
          <a:solidFill>
            <a:srgbClr val="CF8E5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050">
              <a:solidFill>
                <a:schemeClr val="bg1"/>
              </a:solidFill>
              <a:latin typeface="Britannic Bold" panose="020B0903060703020204" pitchFamily="34" charset="0"/>
            </a:rPr>
            <a:t>350.924 Kl</a:t>
          </a:r>
        </a:p>
      </xdr:txBody>
    </xdr:sp>
    <xdr:clientData/>
  </xdr:twoCellAnchor>
  <xdr:twoCellAnchor>
    <xdr:from>
      <xdr:col>11</xdr:col>
      <xdr:colOff>57150</xdr:colOff>
      <xdr:row>10</xdr:row>
      <xdr:rowOff>171450</xdr:rowOff>
    </xdr:from>
    <xdr:to>
      <xdr:col>12</xdr:col>
      <xdr:colOff>355600</xdr:colOff>
      <xdr:row>11</xdr:row>
      <xdr:rowOff>114300</xdr:rowOff>
    </xdr:to>
    <xdr:sp macro="" textlink="">
      <xdr:nvSpPr>
        <xdr:cNvPr id="29" name="TextBox 28">
          <a:extLst>
            <a:ext uri="{FF2B5EF4-FFF2-40B4-BE49-F238E27FC236}">
              <a16:creationId xmlns:a16="http://schemas.microsoft.com/office/drawing/2014/main" id="{8B6C6C34-82C4-2AB1-1B86-5A8C5701EAD1}"/>
            </a:ext>
          </a:extLst>
        </xdr:cNvPr>
        <xdr:cNvSpPr txBox="1"/>
      </xdr:nvSpPr>
      <xdr:spPr>
        <a:xfrm>
          <a:off x="8509000" y="2895600"/>
          <a:ext cx="908050" cy="139700"/>
        </a:xfrm>
        <a:prstGeom prst="rect">
          <a:avLst/>
        </a:prstGeom>
        <a:noFill/>
        <a:ln w="19050" cmpd="sng">
          <a:solidFill>
            <a:srgbClr val="CF8E5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050">
              <a:solidFill>
                <a:schemeClr val="bg1"/>
              </a:solidFill>
              <a:latin typeface="Britannic Bold" panose="020B0903060703020204" pitchFamily="34" charset="0"/>
            </a:rPr>
            <a:t>262.939 Kl</a:t>
          </a:r>
        </a:p>
      </xdr:txBody>
    </xdr:sp>
    <xdr:clientData/>
  </xdr:twoCellAnchor>
  <xdr:twoCellAnchor>
    <xdr:from>
      <xdr:col>14</xdr:col>
      <xdr:colOff>76200</xdr:colOff>
      <xdr:row>5</xdr:row>
      <xdr:rowOff>127000</xdr:rowOff>
    </xdr:from>
    <xdr:to>
      <xdr:col>15</xdr:col>
      <xdr:colOff>368300</xdr:colOff>
      <xdr:row>6</xdr:row>
      <xdr:rowOff>38100</xdr:rowOff>
    </xdr:to>
    <xdr:sp macro="" textlink="">
      <xdr:nvSpPr>
        <xdr:cNvPr id="30" name="TextBox 29">
          <a:extLst>
            <a:ext uri="{FF2B5EF4-FFF2-40B4-BE49-F238E27FC236}">
              <a16:creationId xmlns:a16="http://schemas.microsoft.com/office/drawing/2014/main" id="{550F056B-28EB-6927-5C72-1F6126B728ED}"/>
            </a:ext>
          </a:extLst>
        </xdr:cNvPr>
        <xdr:cNvSpPr txBox="1"/>
      </xdr:nvSpPr>
      <xdr:spPr>
        <a:xfrm>
          <a:off x="10356850" y="1866900"/>
          <a:ext cx="901700" cy="107950"/>
        </a:xfrm>
        <a:prstGeom prst="rect">
          <a:avLst/>
        </a:prstGeom>
        <a:noFill/>
        <a:ln w="19050" cmpd="sng">
          <a:solidFill>
            <a:srgbClr val="CF8E5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200">
              <a:solidFill>
                <a:schemeClr val="bg1"/>
              </a:solidFill>
              <a:latin typeface="Britannic Bold" panose="020B0903060703020204" pitchFamily="34" charset="0"/>
            </a:rPr>
            <a:t>15 Kl</a:t>
          </a:r>
        </a:p>
      </xdr:txBody>
    </xdr:sp>
    <xdr:clientData/>
  </xdr:twoCellAnchor>
  <xdr:twoCellAnchor>
    <xdr:from>
      <xdr:col>14</xdr:col>
      <xdr:colOff>177800</xdr:colOff>
      <xdr:row>11</xdr:row>
      <xdr:rowOff>0</xdr:rowOff>
    </xdr:from>
    <xdr:to>
      <xdr:col>15</xdr:col>
      <xdr:colOff>431800</xdr:colOff>
      <xdr:row>11</xdr:row>
      <xdr:rowOff>152400</xdr:rowOff>
    </xdr:to>
    <xdr:sp macro="" textlink="">
      <xdr:nvSpPr>
        <xdr:cNvPr id="31" name="TextBox 30">
          <a:extLst>
            <a:ext uri="{FF2B5EF4-FFF2-40B4-BE49-F238E27FC236}">
              <a16:creationId xmlns:a16="http://schemas.microsoft.com/office/drawing/2014/main" id="{E388D47E-0AF6-5E94-28FD-FAF4248DB81E}"/>
            </a:ext>
          </a:extLst>
        </xdr:cNvPr>
        <xdr:cNvSpPr txBox="1"/>
      </xdr:nvSpPr>
      <xdr:spPr>
        <a:xfrm>
          <a:off x="10458450" y="2921000"/>
          <a:ext cx="863600" cy="152400"/>
        </a:xfrm>
        <a:prstGeom prst="rect">
          <a:avLst/>
        </a:prstGeom>
        <a:noFill/>
        <a:ln w="19050" cmpd="sng">
          <a:solidFill>
            <a:srgbClr val="CF8E5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000">
              <a:solidFill>
                <a:schemeClr val="bg1"/>
              </a:solidFill>
              <a:latin typeface="Britannic Bold" panose="020B0903060703020204" pitchFamily="34" charset="0"/>
            </a:rPr>
            <a:t>116.909 Kl</a:t>
          </a:r>
        </a:p>
      </xdr:txBody>
    </xdr:sp>
    <xdr:clientData/>
  </xdr:twoCellAnchor>
  <xdr:twoCellAnchor>
    <xdr:from>
      <xdr:col>6</xdr:col>
      <xdr:colOff>736600</xdr:colOff>
      <xdr:row>0</xdr:row>
      <xdr:rowOff>958850</xdr:rowOff>
    </xdr:from>
    <xdr:to>
      <xdr:col>7</xdr:col>
      <xdr:colOff>177800</xdr:colOff>
      <xdr:row>14</xdr:row>
      <xdr:rowOff>0</xdr:rowOff>
    </xdr:to>
    <xdr:sp macro="" textlink="">
      <xdr:nvSpPr>
        <xdr:cNvPr id="33" name="Rectangle 32">
          <a:extLst>
            <a:ext uri="{FF2B5EF4-FFF2-40B4-BE49-F238E27FC236}">
              <a16:creationId xmlns:a16="http://schemas.microsoft.com/office/drawing/2014/main" id="{AC778856-0D85-0D94-2A8E-67D617F16D2C}"/>
            </a:ext>
          </a:extLst>
        </xdr:cNvPr>
        <xdr:cNvSpPr/>
      </xdr:nvSpPr>
      <xdr:spPr>
        <a:xfrm>
          <a:off x="6007100" y="958850"/>
          <a:ext cx="184150" cy="2540000"/>
        </a:xfrm>
        <a:prstGeom prst="rect">
          <a:avLst/>
        </a:prstGeom>
        <a:solidFill>
          <a:srgbClr val="BFAEA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497638</xdr:colOff>
      <xdr:row>0</xdr:row>
      <xdr:rowOff>278063</xdr:rowOff>
    </xdr:from>
    <xdr:to>
      <xdr:col>14</xdr:col>
      <xdr:colOff>44450</xdr:colOff>
      <xdr:row>0</xdr:row>
      <xdr:rowOff>584200</xdr:rowOff>
    </xdr:to>
    <xdr:sp macro="" textlink="">
      <xdr:nvSpPr>
        <xdr:cNvPr id="35" name="TextBox 34">
          <a:extLst>
            <a:ext uri="{FF2B5EF4-FFF2-40B4-BE49-F238E27FC236}">
              <a16:creationId xmlns:a16="http://schemas.microsoft.com/office/drawing/2014/main" id="{317CEE3D-E0DC-9461-4ED1-36920C1621A4}"/>
            </a:ext>
          </a:extLst>
        </xdr:cNvPr>
        <xdr:cNvSpPr txBox="1"/>
      </xdr:nvSpPr>
      <xdr:spPr>
        <a:xfrm>
          <a:off x="1818438" y="278063"/>
          <a:ext cx="8506662" cy="306137"/>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200">
              <a:solidFill>
                <a:schemeClr val="bg1"/>
              </a:solidFill>
              <a:latin typeface="Britannic Bold" panose="020B0903060703020204" pitchFamily="34" charset="0"/>
            </a:rPr>
            <a:t>Jumlah Penyaluran Bahan Bakar Minyak Menurut Jenis dan Kabupaten (Kiloliter) di Provinsi Sumatera Utara Tahun 2022</a:t>
          </a:r>
        </a:p>
      </xdr:txBody>
    </xdr:sp>
    <xdr:clientData/>
  </xdr:twoCellAnchor>
  <xdr:twoCellAnchor>
    <xdr:from>
      <xdr:col>0</xdr:col>
      <xdr:colOff>854075</xdr:colOff>
      <xdr:row>2</xdr:row>
      <xdr:rowOff>168275</xdr:rowOff>
    </xdr:from>
    <xdr:to>
      <xdr:col>1</xdr:col>
      <xdr:colOff>3175</xdr:colOff>
      <xdr:row>4</xdr:row>
      <xdr:rowOff>85725</xdr:rowOff>
    </xdr:to>
    <xdr:sp macro="" textlink="">
      <xdr:nvSpPr>
        <xdr:cNvPr id="40" name="Isosceles Triangle 39">
          <a:hlinkClick xmlns:r="http://schemas.openxmlformats.org/officeDocument/2006/relationships" r:id="rId7"/>
          <a:extLst>
            <a:ext uri="{FF2B5EF4-FFF2-40B4-BE49-F238E27FC236}">
              <a16:creationId xmlns:a16="http://schemas.microsoft.com/office/drawing/2014/main" id="{344EFB53-ABC9-2789-206D-2CED1DABED8D}"/>
            </a:ext>
          </a:extLst>
        </xdr:cNvPr>
        <xdr:cNvSpPr/>
      </xdr:nvSpPr>
      <xdr:spPr>
        <a:xfrm rot="16200000">
          <a:off x="819150" y="1352550"/>
          <a:ext cx="311150" cy="241300"/>
        </a:xfrm>
        <a:prstGeom prst="triangle">
          <a:avLst/>
        </a:prstGeom>
        <a:solidFill>
          <a:srgbClr val="85462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44450</xdr:colOff>
      <xdr:row>5</xdr:row>
      <xdr:rowOff>120650</xdr:rowOff>
    </xdr:from>
    <xdr:to>
      <xdr:col>0</xdr:col>
      <xdr:colOff>1079518</xdr:colOff>
      <xdr:row>7</xdr:row>
      <xdr:rowOff>6350</xdr:rowOff>
    </xdr:to>
    <xdr:sp macro="" textlink="">
      <xdr:nvSpPr>
        <xdr:cNvPr id="41" name="Flowchart: Terminator 38">
          <a:extLst>
            <a:ext uri="{FF2B5EF4-FFF2-40B4-BE49-F238E27FC236}">
              <a16:creationId xmlns:a16="http://schemas.microsoft.com/office/drawing/2014/main" id="{D537B639-5E87-4D63-A9EA-B51DE27F45DF}"/>
            </a:ext>
          </a:extLst>
        </xdr:cNvPr>
        <xdr:cNvSpPr/>
      </xdr:nvSpPr>
      <xdr:spPr>
        <a:xfrm>
          <a:off x="44450" y="1860550"/>
          <a:ext cx="1035068" cy="279400"/>
        </a:xfrm>
        <a:custGeom>
          <a:avLst/>
          <a:gdLst>
            <a:gd name="connsiteX0" fmla="*/ 3475 w 21600"/>
            <a:gd name="connsiteY0" fmla="*/ 0 h 21600"/>
            <a:gd name="connsiteX1" fmla="*/ 18125 w 21600"/>
            <a:gd name="connsiteY1" fmla="*/ 0 h 21600"/>
            <a:gd name="connsiteX2" fmla="*/ 21600 w 21600"/>
            <a:gd name="connsiteY2" fmla="*/ 10800 h 21600"/>
            <a:gd name="connsiteX3" fmla="*/ 18125 w 21600"/>
            <a:gd name="connsiteY3" fmla="*/ 21600 h 21600"/>
            <a:gd name="connsiteX4" fmla="*/ 3475 w 21600"/>
            <a:gd name="connsiteY4" fmla="*/ 21600 h 21600"/>
            <a:gd name="connsiteX5" fmla="*/ 0 w 21600"/>
            <a:gd name="connsiteY5" fmla="*/ 10800 h 21600"/>
            <a:gd name="connsiteX6" fmla="*/ 3475 w 21600"/>
            <a:gd name="connsiteY6" fmla="*/ 0 h 21600"/>
            <a:gd name="connsiteX0" fmla="*/ 3475 w 21083"/>
            <a:gd name="connsiteY0" fmla="*/ 0 h 21600"/>
            <a:gd name="connsiteX1" fmla="*/ 18125 w 21083"/>
            <a:gd name="connsiteY1" fmla="*/ 0 h 21600"/>
            <a:gd name="connsiteX2" fmla="*/ 21083 w 21083"/>
            <a:gd name="connsiteY2" fmla="*/ 11291 h 21600"/>
            <a:gd name="connsiteX3" fmla="*/ 18125 w 21083"/>
            <a:gd name="connsiteY3" fmla="*/ 21600 h 21600"/>
            <a:gd name="connsiteX4" fmla="*/ 3475 w 21083"/>
            <a:gd name="connsiteY4" fmla="*/ 21600 h 21600"/>
            <a:gd name="connsiteX5" fmla="*/ 0 w 21083"/>
            <a:gd name="connsiteY5" fmla="*/ 10800 h 21600"/>
            <a:gd name="connsiteX6" fmla="*/ 3475 w 21083"/>
            <a:gd name="connsiteY6" fmla="*/ 0 h 216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1083" h="21600">
              <a:moveTo>
                <a:pt x="3475" y="0"/>
              </a:moveTo>
              <a:lnTo>
                <a:pt x="18125" y="0"/>
              </a:lnTo>
              <a:cubicBezTo>
                <a:pt x="20044" y="0"/>
                <a:pt x="21083" y="5326"/>
                <a:pt x="21083" y="11291"/>
              </a:cubicBezTo>
              <a:cubicBezTo>
                <a:pt x="21083" y="17256"/>
                <a:pt x="20044" y="21600"/>
                <a:pt x="18125" y="21600"/>
              </a:cubicBezTo>
              <a:lnTo>
                <a:pt x="3475" y="21600"/>
              </a:lnTo>
              <a:cubicBezTo>
                <a:pt x="1556" y="21600"/>
                <a:pt x="0" y="16765"/>
                <a:pt x="0" y="10800"/>
              </a:cubicBezTo>
              <a:cubicBezTo>
                <a:pt x="0" y="4835"/>
                <a:pt x="1556" y="0"/>
                <a:pt x="3475" y="0"/>
              </a:cubicBezTo>
              <a:close/>
            </a:path>
          </a:pathLst>
        </a:custGeom>
        <a:solidFill>
          <a:schemeClr val="bg1"/>
        </a:solidFill>
        <a:ln>
          <a:solidFill>
            <a:srgbClr val="38323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000">
              <a:solidFill>
                <a:sysClr val="windowText" lastClr="000000"/>
              </a:solidFill>
              <a:latin typeface="Britannic Bold" panose="020B0903060703020204" pitchFamily="34" charset="0"/>
            </a:rPr>
            <a:t>DASHBOARD</a:t>
          </a:r>
        </a:p>
      </xdr:txBody>
    </xdr:sp>
    <xdr:clientData/>
  </xdr:twoCellAnchor>
  <xdr:twoCellAnchor>
    <xdr:from>
      <xdr:col>0</xdr:col>
      <xdr:colOff>847725</xdr:colOff>
      <xdr:row>5</xdr:row>
      <xdr:rowOff>117475</xdr:rowOff>
    </xdr:from>
    <xdr:to>
      <xdr:col>0</xdr:col>
      <xdr:colOff>1089025</xdr:colOff>
      <xdr:row>7</xdr:row>
      <xdr:rowOff>34925</xdr:rowOff>
    </xdr:to>
    <xdr:sp macro="" textlink="">
      <xdr:nvSpPr>
        <xdr:cNvPr id="42" name="Isosceles Triangle 41">
          <a:hlinkClick xmlns:r="http://schemas.openxmlformats.org/officeDocument/2006/relationships" r:id="rId8"/>
          <a:extLst>
            <a:ext uri="{FF2B5EF4-FFF2-40B4-BE49-F238E27FC236}">
              <a16:creationId xmlns:a16="http://schemas.microsoft.com/office/drawing/2014/main" id="{9B2F0E87-31D9-42A7-8EB9-32CD5BCD1AA3}"/>
            </a:ext>
          </a:extLst>
        </xdr:cNvPr>
        <xdr:cNvSpPr/>
      </xdr:nvSpPr>
      <xdr:spPr>
        <a:xfrm rot="16200000">
          <a:off x="812800" y="1892300"/>
          <a:ext cx="311150" cy="2413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1</xdr:col>
      <xdr:colOff>0</xdr:colOff>
      <xdr:row>0</xdr:row>
      <xdr:rowOff>950097</xdr:rowOff>
    </xdr:from>
    <xdr:to>
      <xdr:col>10</xdr:col>
      <xdr:colOff>154865</xdr:colOff>
      <xdr:row>15</xdr:row>
      <xdr:rowOff>44450</xdr:rowOff>
    </xdr:to>
    <xdr:pic>
      <xdr:nvPicPr>
        <xdr:cNvPr id="9" name="Picture 8">
          <a:extLst>
            <a:ext uri="{FF2B5EF4-FFF2-40B4-BE49-F238E27FC236}">
              <a16:creationId xmlns:a16="http://schemas.microsoft.com/office/drawing/2014/main" id="{8BD2587A-F261-7069-9BCA-512E095757EC}"/>
            </a:ext>
          </a:extLst>
        </xdr:cNvPr>
        <xdr:cNvPicPr>
          <a:picLocks noChangeAspect="1"/>
        </xdr:cNvPicPr>
      </xdr:nvPicPr>
      <xdr:blipFill rotWithShape="1">
        <a:blip xmlns:r="http://schemas.openxmlformats.org/officeDocument/2006/relationships" r:embed="rId9"/>
        <a:srcRect l="11031" t="44712" r="47146" b="19105"/>
        <a:stretch/>
      </xdr:blipFill>
      <xdr:spPr>
        <a:xfrm>
          <a:off x="1092200" y="950097"/>
          <a:ext cx="6904915" cy="277735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700239</xdr:colOff>
      <xdr:row>15</xdr:row>
      <xdr:rowOff>179453</xdr:rowOff>
    </xdr:from>
    <xdr:to>
      <xdr:col>5</xdr:col>
      <xdr:colOff>711151</xdr:colOff>
      <xdr:row>29</xdr:row>
      <xdr:rowOff>146180</xdr:rowOff>
    </xdr:to>
    <mc:AlternateContent xmlns:mc="http://schemas.openxmlformats.org/markup-compatibility/2006" xmlns:a14="http://schemas.microsoft.com/office/drawing/2010/main">
      <mc:Choice Requires="a14">
        <xdr:graphicFrame macro="">
          <xdr:nvGraphicFramePr>
            <xdr:cNvPr id="3" name="Kabupaten 2">
              <a:extLst>
                <a:ext uri="{FF2B5EF4-FFF2-40B4-BE49-F238E27FC236}">
                  <a16:creationId xmlns:a16="http://schemas.microsoft.com/office/drawing/2014/main" id="{0513DD3B-5026-4C6C-B8DB-6B014EBC870B}"/>
                </a:ext>
              </a:extLst>
            </xdr:cNvPr>
            <xdr:cNvGraphicFramePr/>
          </xdr:nvGraphicFramePr>
          <xdr:xfrm>
            <a:off x="0" y="0"/>
            <a:ext cx="0" cy="0"/>
          </xdr:xfrm>
          <a:graphic>
            <a:graphicData uri="http://schemas.microsoft.com/office/drawing/2010/slicer">
              <sle:slicer xmlns:sle="http://schemas.microsoft.com/office/drawing/2010/slicer" name="Kabupaten 2"/>
            </a:graphicData>
          </a:graphic>
        </xdr:graphicFrame>
      </mc:Choice>
      <mc:Fallback xmlns="">
        <xdr:sp macro="" textlink="">
          <xdr:nvSpPr>
            <xdr:cNvPr id="0" name=""/>
            <xdr:cNvSpPr>
              <a:spLocks noTextEdit="1"/>
            </xdr:cNvSpPr>
          </xdr:nvSpPr>
          <xdr:spPr>
            <a:xfrm>
              <a:off x="3838427" y="2940323"/>
              <a:ext cx="1823883" cy="254353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272406</xdr:colOff>
      <xdr:row>3</xdr:row>
      <xdr:rowOff>137675</xdr:rowOff>
    </xdr:from>
    <xdr:to>
      <xdr:col>13</xdr:col>
      <xdr:colOff>40493</xdr:colOff>
      <xdr:row>18</xdr:row>
      <xdr:rowOff>120006</xdr:rowOff>
    </xdr:to>
    <xdr:graphicFrame macro="">
      <xdr:nvGraphicFramePr>
        <xdr:cNvPr id="4" name="Chart 3">
          <a:extLst>
            <a:ext uri="{FF2B5EF4-FFF2-40B4-BE49-F238E27FC236}">
              <a16:creationId xmlns:a16="http://schemas.microsoft.com/office/drawing/2014/main" id="{F358348E-28A7-F496-6073-FF99743341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0</xdr:colOff>
      <xdr:row>5</xdr:row>
      <xdr:rowOff>0</xdr:rowOff>
    </xdr:from>
    <xdr:to>
      <xdr:col>5</xdr:col>
      <xdr:colOff>336550</xdr:colOff>
      <xdr:row>9</xdr:row>
      <xdr:rowOff>158750</xdr:rowOff>
    </xdr:to>
    <xdr:pic>
      <xdr:nvPicPr>
        <xdr:cNvPr id="3" name="Graphic 2" descr="Map with pin">
          <a:extLst>
            <a:ext uri="{FF2B5EF4-FFF2-40B4-BE49-F238E27FC236}">
              <a16:creationId xmlns:a16="http://schemas.microsoft.com/office/drawing/2014/main" id="{D61059E3-8696-2F43-140C-250ECBC9F8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438400" y="958850"/>
          <a:ext cx="946150" cy="946150"/>
        </a:xfrm>
        <a:prstGeom prst="rect">
          <a:avLst/>
        </a:prstGeom>
      </xdr:spPr>
    </xdr:pic>
    <xdr:clientData/>
  </xdr:twoCellAnchor>
  <xdr:twoCellAnchor editAs="oneCell">
    <xdr:from>
      <xdr:col>2</xdr:col>
      <xdr:colOff>0</xdr:colOff>
      <xdr:row>2</xdr:row>
      <xdr:rowOff>0</xdr:rowOff>
    </xdr:from>
    <xdr:to>
      <xdr:col>2</xdr:col>
      <xdr:colOff>914400</xdr:colOff>
      <xdr:row>6</xdr:row>
      <xdr:rowOff>127000</xdr:rowOff>
    </xdr:to>
    <xdr:pic>
      <xdr:nvPicPr>
        <xdr:cNvPr id="5" name="Graphic 4" descr="Bar graph with upward trend">
          <a:extLst>
            <a:ext uri="{FF2B5EF4-FFF2-40B4-BE49-F238E27FC236}">
              <a16:creationId xmlns:a16="http://schemas.microsoft.com/office/drawing/2014/main" id="{F71E1F85-346F-85FD-E690-455A78CF12D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219200" y="368300"/>
          <a:ext cx="914400" cy="914400"/>
        </a:xfrm>
        <a:prstGeom prst="rect">
          <a:avLst/>
        </a:prstGeom>
      </xdr:spPr>
    </xdr:pic>
    <xdr:clientData/>
  </xdr:twoCellAnchor>
  <xdr:twoCellAnchor editAs="oneCell">
    <xdr:from>
      <xdr:col>5</xdr:col>
      <xdr:colOff>0</xdr:colOff>
      <xdr:row>20</xdr:row>
      <xdr:rowOff>0</xdr:rowOff>
    </xdr:from>
    <xdr:to>
      <xdr:col>6</xdr:col>
      <xdr:colOff>304800</xdr:colOff>
      <xdr:row>24</xdr:row>
      <xdr:rowOff>177800</xdr:rowOff>
    </xdr:to>
    <xdr:pic>
      <xdr:nvPicPr>
        <xdr:cNvPr id="7" name="Graphic 6" descr="Statistics">
          <a:extLst>
            <a:ext uri="{FF2B5EF4-FFF2-40B4-BE49-F238E27FC236}">
              <a16:creationId xmlns:a16="http://schemas.microsoft.com/office/drawing/2014/main" id="{A8C0EB21-5E7E-5E97-520E-530E2048216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638550" y="3810000"/>
          <a:ext cx="914400" cy="9144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284461</xdr:colOff>
      <xdr:row>2</xdr:row>
      <xdr:rowOff>51122</xdr:rowOff>
    </xdr:from>
    <xdr:to>
      <xdr:col>14</xdr:col>
      <xdr:colOff>290811</xdr:colOff>
      <xdr:row>16</xdr:row>
      <xdr:rowOff>3497</xdr:rowOff>
    </xdr:to>
    <xdr:graphicFrame macro="">
      <xdr:nvGraphicFramePr>
        <xdr:cNvPr id="2" name="Chart 1">
          <a:extLst>
            <a:ext uri="{FF2B5EF4-FFF2-40B4-BE49-F238E27FC236}">
              <a16:creationId xmlns:a16="http://schemas.microsoft.com/office/drawing/2014/main" id="{65679537-DD58-16B4-EFAD-E6864B5814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700239</xdr:colOff>
      <xdr:row>15</xdr:row>
      <xdr:rowOff>179453</xdr:rowOff>
    </xdr:from>
    <xdr:to>
      <xdr:col>5</xdr:col>
      <xdr:colOff>214194</xdr:colOff>
      <xdr:row>29</xdr:row>
      <xdr:rowOff>146180</xdr:rowOff>
    </xdr:to>
    <mc:AlternateContent xmlns:mc="http://schemas.openxmlformats.org/markup-compatibility/2006" xmlns:a14="http://schemas.microsoft.com/office/drawing/2010/main">
      <mc:Choice Requires="a14">
        <xdr:graphicFrame macro="">
          <xdr:nvGraphicFramePr>
            <xdr:cNvPr id="5" name="Kabupaten">
              <a:extLst>
                <a:ext uri="{FF2B5EF4-FFF2-40B4-BE49-F238E27FC236}">
                  <a16:creationId xmlns:a16="http://schemas.microsoft.com/office/drawing/2014/main" id="{CB548D72-3C42-D79E-5F6B-351F0D96DED9}"/>
                </a:ext>
              </a:extLst>
            </xdr:cNvPr>
            <xdr:cNvGraphicFramePr/>
          </xdr:nvGraphicFramePr>
          <xdr:xfrm>
            <a:off x="0" y="0"/>
            <a:ext cx="0" cy="0"/>
          </xdr:xfrm>
          <a:graphic>
            <a:graphicData uri="http://schemas.microsoft.com/office/drawing/2010/slicer">
              <sle:slicer xmlns:sle="http://schemas.microsoft.com/office/drawing/2010/slicer" name="Kabupaten"/>
            </a:graphicData>
          </a:graphic>
        </xdr:graphicFrame>
      </mc:Choice>
      <mc:Fallback xmlns="">
        <xdr:sp macro="" textlink="">
          <xdr:nvSpPr>
            <xdr:cNvPr id="0" name=""/>
            <xdr:cNvSpPr>
              <a:spLocks noTextEdit="1"/>
            </xdr:cNvSpPr>
          </xdr:nvSpPr>
          <xdr:spPr>
            <a:xfrm>
              <a:off x="3580746" y="2940323"/>
              <a:ext cx="1823883" cy="254353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166571</xdr:colOff>
      <xdr:row>8</xdr:row>
      <xdr:rowOff>18037</xdr:rowOff>
    </xdr:from>
    <xdr:to>
      <xdr:col>14</xdr:col>
      <xdr:colOff>46014</xdr:colOff>
      <xdr:row>23</xdr:row>
      <xdr:rowOff>368</xdr:rowOff>
    </xdr:to>
    <xdr:graphicFrame macro="">
      <xdr:nvGraphicFramePr>
        <xdr:cNvPr id="14" name="Chart 13">
          <a:extLst>
            <a:ext uri="{FF2B5EF4-FFF2-40B4-BE49-F238E27FC236}">
              <a16:creationId xmlns:a16="http://schemas.microsoft.com/office/drawing/2014/main" id="{51DEE6E3-77D7-A3D5-3D0F-A408743F30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471649</xdr:colOff>
      <xdr:row>8</xdr:row>
      <xdr:rowOff>159486</xdr:rowOff>
    </xdr:from>
    <xdr:to>
      <xdr:col>10</xdr:col>
      <xdr:colOff>192986</xdr:colOff>
      <xdr:row>22</xdr:row>
      <xdr:rowOff>106800</xdr:rowOff>
    </xdr:to>
    <mc:AlternateContent xmlns:mc="http://schemas.openxmlformats.org/markup-compatibility/2006" xmlns:a14="http://schemas.microsoft.com/office/drawing/2010/main">
      <mc:Choice Requires="a14">
        <xdr:graphicFrame macro="">
          <xdr:nvGraphicFramePr>
            <xdr:cNvPr id="16" name="Kabupaten 3">
              <a:extLst>
                <a:ext uri="{FF2B5EF4-FFF2-40B4-BE49-F238E27FC236}">
                  <a16:creationId xmlns:a16="http://schemas.microsoft.com/office/drawing/2014/main" id="{97E6AFB4-5ECB-8532-2BF7-FBC71F807BBA}"/>
                </a:ext>
              </a:extLst>
            </xdr:cNvPr>
            <xdr:cNvGraphicFramePr/>
          </xdr:nvGraphicFramePr>
          <xdr:xfrm>
            <a:off x="0" y="0"/>
            <a:ext cx="0" cy="0"/>
          </xdr:xfrm>
          <a:graphic>
            <a:graphicData uri="http://schemas.microsoft.com/office/drawing/2010/slicer">
              <sle:slicer xmlns:sle="http://schemas.microsoft.com/office/drawing/2010/slicer" name="Kabupaten 3"/>
            </a:graphicData>
          </a:graphic>
        </xdr:graphicFrame>
      </mc:Choice>
      <mc:Fallback xmlns="">
        <xdr:sp macro="" textlink="">
          <xdr:nvSpPr>
            <xdr:cNvPr id="0" name=""/>
            <xdr:cNvSpPr>
              <a:spLocks noTextEdit="1"/>
            </xdr:cNvSpPr>
          </xdr:nvSpPr>
          <xdr:spPr>
            <a:xfrm>
              <a:off x="7861577" y="163195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024.982409374999" createdVersion="8" refreshedVersion="8" minRefreshableVersion="3" recordCount="10" xr:uid="{6E76467E-F57F-4AFE-BCD9-6C435CDC25FE}">
  <cacheSource type="worksheet">
    <worksheetSource name="Table121422"/>
  </cacheSource>
  <cacheFields count="6">
    <cacheField name="Kabupaten" numFmtId="0">
      <sharedItems count="10">
        <s v="Nias"/>
        <s v="Mandailing Natal"/>
        <s v="Tapanuli Selatan"/>
        <s v="Tapanuli Tengah"/>
        <s v=" Tapanuli Utara"/>
        <s v="Toba"/>
        <s v="Labuhanbatu"/>
        <s v="Asahan"/>
        <s v="Simalungun"/>
        <s v="Dairi"/>
      </sharedItems>
    </cacheField>
    <cacheField name="Premium" numFmtId="0">
      <sharedItems containsSemiMixedTypes="0" containsString="0" containsNumber="1" containsInteger="1" minValue="4398" maxValue="81463" count="10">
        <n v="4398"/>
        <n v="36520"/>
        <n v="13966"/>
        <n v="28455"/>
        <n v="25309"/>
        <n v="22174"/>
        <n v="57629"/>
        <n v="81463"/>
        <n v="58427"/>
        <n v="22583"/>
      </sharedItems>
    </cacheField>
    <cacheField name="Bisolar" numFmtId="0">
      <sharedItems containsSemiMixedTypes="0" containsString="0" containsNumber="1" containsInteger="1" minValue="1096" maxValue="50053" count="10">
        <n v="1096"/>
        <n v="23336"/>
        <n v="13304"/>
        <n v="24880"/>
        <n v="27024"/>
        <n v="20091"/>
        <n v="49452"/>
        <n v="50053"/>
        <n v="40215"/>
        <n v="13488"/>
      </sharedItems>
    </cacheField>
    <cacheField name="Minyak Tanah" numFmtId="0">
      <sharedItems containsSemiMixedTypes="0" containsString="0" containsNumber="1" containsInteger="1" minValue="0" maxValue="15" count="2">
        <n v="0"/>
        <n v="15"/>
      </sharedItems>
    </cacheField>
    <cacheField name="LPG" numFmtId="0">
      <sharedItems containsSemiMixedTypes="0" containsString="0" containsNumber="1" containsInteger="1" minValue="1490" maxValue="29310" count="10">
        <n v="1490"/>
        <n v="8585"/>
        <n v="7607"/>
        <n v="7372"/>
        <n v="8341"/>
        <n v="6408"/>
        <n v="15826"/>
        <n v="23671"/>
        <n v="29310"/>
        <n v="8299"/>
      </sharedItems>
    </cacheField>
    <cacheField name="Total" numFmtId="3">
      <sharedItems containsSemiMixedTypes="0" containsString="0" containsNumber="1" containsInteger="1" minValue="6984" maxValue="155187"/>
    </cacheField>
  </cacheFields>
  <extLst>
    <ext xmlns:x14="http://schemas.microsoft.com/office/spreadsheetml/2009/9/main" uri="{725AE2AE-9491-48be-B2B4-4EB974FC3084}">
      <x14:pivotCacheDefinition pivotCacheId="17748139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x v="0"/>
    <x v="0"/>
    <n v="6984"/>
  </r>
  <r>
    <x v="1"/>
    <x v="1"/>
    <x v="1"/>
    <x v="1"/>
    <x v="1"/>
    <n v="68456"/>
  </r>
  <r>
    <x v="2"/>
    <x v="2"/>
    <x v="2"/>
    <x v="0"/>
    <x v="2"/>
    <n v="34877"/>
  </r>
  <r>
    <x v="3"/>
    <x v="3"/>
    <x v="3"/>
    <x v="0"/>
    <x v="3"/>
    <n v="60707"/>
  </r>
  <r>
    <x v="4"/>
    <x v="4"/>
    <x v="4"/>
    <x v="0"/>
    <x v="4"/>
    <n v="60674"/>
  </r>
  <r>
    <x v="5"/>
    <x v="5"/>
    <x v="5"/>
    <x v="0"/>
    <x v="5"/>
    <n v="48673"/>
  </r>
  <r>
    <x v="6"/>
    <x v="6"/>
    <x v="6"/>
    <x v="0"/>
    <x v="6"/>
    <n v="122907"/>
  </r>
  <r>
    <x v="7"/>
    <x v="7"/>
    <x v="7"/>
    <x v="0"/>
    <x v="7"/>
    <n v="155187"/>
  </r>
  <r>
    <x v="8"/>
    <x v="8"/>
    <x v="8"/>
    <x v="0"/>
    <x v="8"/>
    <n v="127952"/>
  </r>
  <r>
    <x v="9"/>
    <x v="9"/>
    <x v="9"/>
    <x v="0"/>
    <x v="9"/>
    <n v="443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28205D-E7D9-486C-AC2A-D836A64D7B1E}" name="PivotTable55"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6">
    <pivotField showAll="0">
      <items count="11">
        <item x="4"/>
        <item x="7"/>
        <item x="9"/>
        <item x="6"/>
        <item x="1"/>
        <item x="0"/>
        <item x="8"/>
        <item x="2"/>
        <item x="3"/>
        <item x="5"/>
        <item t="default"/>
      </items>
    </pivotField>
    <pivotField dataField="1" showAll="0">
      <items count="11">
        <item x="0"/>
        <item x="2"/>
        <item x="5"/>
        <item x="9"/>
        <item x="4"/>
        <item x="3"/>
        <item x="1"/>
        <item x="6"/>
        <item x="8"/>
        <item x="7"/>
        <item t="default"/>
      </items>
    </pivotField>
    <pivotField dataField="1" showAll="0">
      <items count="11">
        <item x="0"/>
        <item x="2"/>
        <item x="9"/>
        <item x="5"/>
        <item x="1"/>
        <item x="3"/>
        <item x="4"/>
        <item x="8"/>
        <item x="6"/>
        <item x="7"/>
        <item t="default"/>
      </items>
    </pivotField>
    <pivotField dataField="1" showAll="0">
      <items count="3">
        <item x="0"/>
        <item x="1"/>
        <item t="default"/>
      </items>
    </pivotField>
    <pivotField dataField="1" showAll="0">
      <items count="11">
        <item x="0"/>
        <item x="5"/>
        <item x="3"/>
        <item x="2"/>
        <item x="9"/>
        <item x="4"/>
        <item x="1"/>
        <item x="6"/>
        <item x="7"/>
        <item x="8"/>
        <item t="default"/>
      </items>
    </pivotField>
    <pivotField numFmtId="3" showAll="0"/>
  </pivotFields>
  <rowFields count="1">
    <field x="-2"/>
  </rowFields>
  <rowItems count="4">
    <i>
      <x/>
    </i>
    <i i="1">
      <x v="1"/>
    </i>
    <i i="2">
      <x v="2"/>
    </i>
    <i i="3">
      <x v="3"/>
    </i>
  </rowItems>
  <colItems count="1">
    <i/>
  </colItems>
  <dataFields count="4">
    <dataField name="Sum of Premium" fld="1" baseField="0" baseItem="0"/>
    <dataField name="Sum of LPG" fld="4" baseField="0" baseItem="0"/>
    <dataField name="Sum of Minyak Tanah" fld="3" baseField="0" baseItem="0"/>
    <dataField name="Sum of Biosolar" fld="2" baseField="0" baseItem="0"/>
  </dataFields>
  <chartFormats count="22">
    <chartFormat chart="0" format="58" series="1">
      <pivotArea type="data" outline="0" fieldPosition="0">
        <references count="1">
          <reference field="4294967294" count="1" selected="0">
            <x v="0"/>
          </reference>
        </references>
      </pivotArea>
    </chartFormat>
    <chartFormat chart="0" format="59" series="1">
      <pivotArea type="data" outline="0" fieldPosition="0">
        <references count="1">
          <reference field="4294967294" count="1" selected="0">
            <x v="3"/>
          </reference>
        </references>
      </pivotArea>
    </chartFormat>
    <chartFormat chart="0" format="60" series="1">
      <pivotArea type="data" outline="0" fieldPosition="0">
        <references count="1">
          <reference field="4294967294" count="1" selected="0">
            <x v="2"/>
          </reference>
        </references>
      </pivotArea>
    </chartFormat>
    <chartFormat chart="0" format="61" series="1">
      <pivotArea type="data" outline="0" fieldPosition="0">
        <references count="1">
          <reference field="4294967294" count="1" selected="0">
            <x v="1"/>
          </reference>
        </references>
      </pivotArea>
    </chartFormat>
    <chartFormat chart="6" format="66" series="1">
      <pivotArea type="data" outline="0" fieldPosition="0">
        <references count="1">
          <reference field="4294967294" count="1" selected="0">
            <x v="0"/>
          </reference>
        </references>
      </pivotArea>
    </chartFormat>
    <chartFormat chart="6" format="67" series="1">
      <pivotArea type="data" outline="0" fieldPosition="0">
        <references count="1">
          <reference field="4294967294" count="1" selected="0">
            <x v="1"/>
          </reference>
        </references>
      </pivotArea>
    </chartFormat>
    <chartFormat chart="6" format="68" series="1">
      <pivotArea type="data" outline="0" fieldPosition="0">
        <references count="1">
          <reference field="4294967294" count="1" selected="0">
            <x v="2"/>
          </reference>
        </references>
      </pivotArea>
    </chartFormat>
    <chartFormat chart="6" format="69" series="1">
      <pivotArea type="data" outline="0" fieldPosition="0">
        <references count="1">
          <reference field="4294967294" count="1" selected="0">
            <x v="3"/>
          </reference>
        </references>
      </pivotArea>
    </chartFormat>
    <chartFormat chart="8" format="74" series="1">
      <pivotArea type="data" outline="0" fieldPosition="0">
        <references count="1">
          <reference field="4294967294" count="1" selected="0">
            <x v="0"/>
          </reference>
        </references>
      </pivotArea>
    </chartFormat>
    <chartFormat chart="8" format="75" series="1">
      <pivotArea type="data" outline="0" fieldPosition="0">
        <references count="1">
          <reference field="4294967294" count="1" selected="0">
            <x v="1"/>
          </reference>
        </references>
      </pivotArea>
    </chartFormat>
    <chartFormat chart="8" format="76" series="1">
      <pivotArea type="data" outline="0" fieldPosition="0">
        <references count="1">
          <reference field="4294967294" count="1" selected="0">
            <x v="2"/>
          </reference>
        </references>
      </pivotArea>
    </chartFormat>
    <chartFormat chart="8" format="77" series="1">
      <pivotArea type="data" outline="0" fieldPosition="0">
        <references count="1">
          <reference field="4294967294" count="1" selected="0">
            <x v="3"/>
          </reference>
        </references>
      </pivotArea>
    </chartFormat>
    <chartFormat chart="14"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1">
          <reference field="4294967294" count="1" selected="0">
            <x v="0"/>
          </reference>
        </references>
      </pivotArea>
    </chartFormat>
    <chartFormat chart="16" format="8">
      <pivotArea type="data" outline="0" fieldPosition="0">
        <references count="1">
          <reference field="4294967294" count="1" selected="0">
            <x v="1"/>
          </reference>
        </references>
      </pivotArea>
    </chartFormat>
    <chartFormat chart="16" format="9">
      <pivotArea type="data" outline="0" fieldPosition="0">
        <references count="1">
          <reference field="4294967294" count="1" selected="0">
            <x v="2"/>
          </reference>
        </references>
      </pivotArea>
    </chartFormat>
    <chartFormat chart="16" format="10">
      <pivotArea type="data" outline="0" fieldPosition="0">
        <references count="1">
          <reference field="4294967294" count="1" selected="0">
            <x v="3"/>
          </reference>
        </references>
      </pivotArea>
    </chartFormat>
    <chartFormat chart="14" format="1">
      <pivotArea type="data" outline="0" fieldPosition="0">
        <references count="1">
          <reference field="4294967294" count="1" selected="0">
            <x v="0"/>
          </reference>
        </references>
      </pivotArea>
    </chartFormat>
    <chartFormat chart="14" format="2">
      <pivotArea type="data" outline="0" fieldPosition="0">
        <references count="1">
          <reference field="4294967294" count="1" selected="0">
            <x v="1"/>
          </reference>
        </references>
      </pivotArea>
    </chartFormat>
    <chartFormat chart="14" format="3">
      <pivotArea type="data" outline="0" fieldPosition="0">
        <references count="1">
          <reference field="4294967294" count="1" selected="0">
            <x v="2"/>
          </reference>
        </references>
      </pivotArea>
    </chartFormat>
    <chartFormat chart="14" format="4">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A78B4B-7214-4B76-8239-A5431C79A2F6}" name="PivotTable55"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E14" firstHeaderRow="0" firstDataRow="1" firstDataCol="1"/>
  <pivotFields count="6">
    <pivotField axis="axisRow" showAll="0">
      <items count="11">
        <item x="4"/>
        <item x="7"/>
        <item x="9"/>
        <item x="6"/>
        <item x="1"/>
        <item x="0"/>
        <item x="8"/>
        <item x="2"/>
        <item x="3"/>
        <item x="5"/>
        <item t="default"/>
      </items>
    </pivotField>
    <pivotField dataField="1" showAll="0">
      <items count="11">
        <item x="0"/>
        <item x="2"/>
        <item x="5"/>
        <item x="9"/>
        <item x="4"/>
        <item x="3"/>
        <item x="1"/>
        <item x="6"/>
        <item x="8"/>
        <item x="7"/>
        <item t="default"/>
      </items>
    </pivotField>
    <pivotField dataField="1" showAll="0">
      <items count="11">
        <item x="0"/>
        <item x="2"/>
        <item x="9"/>
        <item x="5"/>
        <item x="1"/>
        <item x="3"/>
        <item x="4"/>
        <item x="8"/>
        <item x="6"/>
        <item x="7"/>
        <item t="default"/>
      </items>
    </pivotField>
    <pivotField dataField="1" showAll="0">
      <items count="3">
        <item x="0"/>
        <item x="1"/>
        <item t="default"/>
      </items>
    </pivotField>
    <pivotField dataField="1" showAll="0">
      <items count="11">
        <item x="0"/>
        <item x="5"/>
        <item x="3"/>
        <item x="2"/>
        <item x="9"/>
        <item x="4"/>
        <item x="1"/>
        <item x="6"/>
        <item x="7"/>
        <item x="8"/>
        <item t="default"/>
      </items>
    </pivotField>
    <pivotField numFmtId="3" showAll="0"/>
  </pivotFields>
  <rowFields count="1">
    <field x="0"/>
  </rowFields>
  <rowItems count="11">
    <i>
      <x/>
    </i>
    <i>
      <x v="1"/>
    </i>
    <i>
      <x v="2"/>
    </i>
    <i>
      <x v="3"/>
    </i>
    <i>
      <x v="4"/>
    </i>
    <i>
      <x v="5"/>
    </i>
    <i>
      <x v="6"/>
    </i>
    <i>
      <x v="7"/>
    </i>
    <i>
      <x v="8"/>
    </i>
    <i>
      <x v="9"/>
    </i>
    <i t="grand">
      <x/>
    </i>
  </rowItems>
  <colFields count="1">
    <field x="-2"/>
  </colFields>
  <colItems count="4">
    <i>
      <x/>
    </i>
    <i i="1">
      <x v="1"/>
    </i>
    <i i="2">
      <x v="2"/>
    </i>
    <i i="3">
      <x v="3"/>
    </i>
  </colItems>
  <dataFields count="4">
    <dataField name="Sum of Premium" fld="1" baseField="0" baseItem="0"/>
    <dataField name="Sum of LPG" fld="4" baseField="0" baseItem="0"/>
    <dataField name="Sum of Minyak Tanah" fld="3" baseField="0" baseItem="0"/>
    <dataField name="Sum of Biosolar" fld="2" baseField="0" baseItem="0"/>
  </dataFields>
  <formats count="1">
    <format dxfId="6">
      <pivotArea dataOnly="0" labelOnly="1" fieldPosition="0">
        <references count="1">
          <reference field="0" count="0"/>
        </references>
      </pivotArea>
    </format>
  </formats>
  <chartFormats count="42">
    <chartFormat chart="0" format="58" series="1">
      <pivotArea type="data" outline="0" fieldPosition="0">
        <references count="1">
          <reference field="4294967294" count="1" selected="0">
            <x v="0"/>
          </reference>
        </references>
      </pivotArea>
    </chartFormat>
    <chartFormat chart="0" format="59" series="1">
      <pivotArea type="data" outline="0" fieldPosition="0">
        <references count="1">
          <reference field="4294967294" count="1" selected="0">
            <x v="3"/>
          </reference>
        </references>
      </pivotArea>
    </chartFormat>
    <chartFormat chart="0" format="60" series="1">
      <pivotArea type="data" outline="0" fieldPosition="0">
        <references count="1">
          <reference field="4294967294" count="1" selected="0">
            <x v="2"/>
          </reference>
        </references>
      </pivotArea>
    </chartFormat>
    <chartFormat chart="0" format="61" series="1">
      <pivotArea type="data" outline="0" fieldPosition="0">
        <references count="1">
          <reference field="4294967294" count="1" selected="0">
            <x v="1"/>
          </reference>
        </references>
      </pivotArea>
    </chartFormat>
    <chartFormat chart="6" format="66" series="1">
      <pivotArea type="data" outline="0" fieldPosition="0">
        <references count="1">
          <reference field="4294967294" count="1" selected="0">
            <x v="0"/>
          </reference>
        </references>
      </pivotArea>
    </chartFormat>
    <chartFormat chart="6" format="67" series="1">
      <pivotArea type="data" outline="0" fieldPosition="0">
        <references count="1">
          <reference field="4294967294" count="1" selected="0">
            <x v="1"/>
          </reference>
        </references>
      </pivotArea>
    </chartFormat>
    <chartFormat chart="6" format="68" series="1">
      <pivotArea type="data" outline="0" fieldPosition="0">
        <references count="1">
          <reference field="4294967294" count="1" selected="0">
            <x v="2"/>
          </reference>
        </references>
      </pivotArea>
    </chartFormat>
    <chartFormat chart="6" format="69" series="1">
      <pivotArea type="data" outline="0" fieldPosition="0">
        <references count="1">
          <reference field="4294967294" count="1" selected="0">
            <x v="3"/>
          </reference>
        </references>
      </pivotArea>
    </chartFormat>
    <chartFormat chart="8" format="74" series="1">
      <pivotArea type="data" outline="0" fieldPosition="0">
        <references count="1">
          <reference field="4294967294" count="1" selected="0">
            <x v="0"/>
          </reference>
        </references>
      </pivotArea>
    </chartFormat>
    <chartFormat chart="8" format="75" series="1">
      <pivotArea type="data" outline="0" fieldPosition="0">
        <references count="1">
          <reference field="4294967294" count="1" selected="0">
            <x v="1"/>
          </reference>
        </references>
      </pivotArea>
    </chartFormat>
    <chartFormat chart="8" format="76" series="1">
      <pivotArea type="data" outline="0" fieldPosition="0">
        <references count="1">
          <reference field="4294967294" count="1" selected="0">
            <x v="2"/>
          </reference>
        </references>
      </pivotArea>
    </chartFormat>
    <chartFormat chart="8" format="77" series="1">
      <pivotArea type="data" outline="0" fieldPosition="0">
        <references count="1">
          <reference field="4294967294" count="1" selected="0">
            <x v="3"/>
          </reference>
        </references>
      </pivotArea>
    </chartFormat>
    <chartFormat chart="8" format="78" series="1">
      <pivotArea type="data" outline="0" fieldPosition="0">
        <references count="2">
          <reference field="4294967294" count="1" selected="0">
            <x v="0"/>
          </reference>
          <reference field="0" count="1" selected="0">
            <x v="4"/>
          </reference>
        </references>
      </pivotArea>
    </chartFormat>
    <chartFormat chart="8" format="79" series="1">
      <pivotArea type="data" outline="0" fieldPosition="0">
        <references count="2">
          <reference field="4294967294" count="1" selected="0">
            <x v="0"/>
          </reference>
          <reference field="0" count="1" selected="0">
            <x v="5"/>
          </reference>
        </references>
      </pivotArea>
    </chartFormat>
    <chartFormat chart="8" format="80" series="1">
      <pivotArea type="data" outline="0" fieldPosition="0">
        <references count="2">
          <reference field="4294967294" count="1" selected="0">
            <x v="0"/>
          </reference>
          <reference field="0" count="1" selected="0">
            <x v="6"/>
          </reference>
        </references>
      </pivotArea>
    </chartFormat>
    <chartFormat chart="8" format="81" series="1">
      <pivotArea type="data" outline="0" fieldPosition="0">
        <references count="2">
          <reference field="4294967294" count="1" selected="0">
            <x v="0"/>
          </reference>
          <reference field="0" count="1" selected="0">
            <x v="7"/>
          </reference>
        </references>
      </pivotArea>
    </chartFormat>
    <chartFormat chart="8" format="82" series="1">
      <pivotArea type="data" outline="0" fieldPosition="0">
        <references count="2">
          <reference field="4294967294" count="1" selected="0">
            <x v="0"/>
          </reference>
          <reference field="0" count="1" selected="0">
            <x v="8"/>
          </reference>
        </references>
      </pivotArea>
    </chartFormat>
    <chartFormat chart="8" format="83" series="1">
      <pivotArea type="data" outline="0" fieldPosition="0">
        <references count="2">
          <reference field="4294967294" count="1" selected="0">
            <x v="0"/>
          </reference>
          <reference field="0" count="1" selected="0">
            <x v="9"/>
          </reference>
        </references>
      </pivotArea>
    </chartFormat>
    <chartFormat chart="0" format="62" series="1">
      <pivotArea type="data" outline="0" fieldPosition="0">
        <references count="2">
          <reference field="4294967294" count="1" selected="0">
            <x v="0"/>
          </reference>
          <reference field="0" count="1" selected="0">
            <x v="4"/>
          </reference>
        </references>
      </pivotArea>
    </chartFormat>
    <chartFormat chart="0" format="63" series="1">
      <pivotArea type="data" outline="0" fieldPosition="0">
        <references count="2">
          <reference field="4294967294" count="1" selected="0">
            <x v="0"/>
          </reference>
          <reference field="0" count="1" selected="0">
            <x v="5"/>
          </reference>
        </references>
      </pivotArea>
    </chartFormat>
    <chartFormat chart="0" format="64" series="1">
      <pivotArea type="data" outline="0" fieldPosition="0">
        <references count="2">
          <reference field="4294967294" count="1" selected="0">
            <x v="0"/>
          </reference>
          <reference field="0" count="1" selected="0">
            <x v="6"/>
          </reference>
        </references>
      </pivotArea>
    </chartFormat>
    <chartFormat chart="0" format="65" series="1">
      <pivotArea type="data" outline="0" fieldPosition="0">
        <references count="2">
          <reference field="4294967294" count="1" selected="0">
            <x v="0"/>
          </reference>
          <reference field="0" count="1" selected="0">
            <x v="7"/>
          </reference>
        </references>
      </pivotArea>
    </chartFormat>
    <chartFormat chart="0" format="66" series="1">
      <pivotArea type="data" outline="0" fieldPosition="0">
        <references count="2">
          <reference field="4294967294" count="1" selected="0">
            <x v="0"/>
          </reference>
          <reference field="0" count="1" selected="0">
            <x v="8"/>
          </reference>
        </references>
      </pivotArea>
    </chartFormat>
    <chartFormat chart="0" format="67" series="1">
      <pivotArea type="data" outline="0" fieldPosition="0">
        <references count="2">
          <reference field="4294967294" count="1" selected="0">
            <x v="0"/>
          </reference>
          <reference field="0" count="1" selected="0">
            <x v="9"/>
          </reference>
        </references>
      </pivotArea>
    </chartFormat>
    <chartFormat chart="6" format="70" series="1">
      <pivotArea type="data" outline="0" fieldPosition="0">
        <references count="2">
          <reference field="4294967294" count="1" selected="0">
            <x v="0"/>
          </reference>
          <reference field="0" count="1" selected="0">
            <x v="4"/>
          </reference>
        </references>
      </pivotArea>
    </chartFormat>
    <chartFormat chart="6" format="71" series="1">
      <pivotArea type="data" outline="0" fieldPosition="0">
        <references count="2">
          <reference field="4294967294" count="1" selected="0">
            <x v="0"/>
          </reference>
          <reference field="0" count="1" selected="0">
            <x v="5"/>
          </reference>
        </references>
      </pivotArea>
    </chartFormat>
    <chartFormat chart="6" format="72" series="1">
      <pivotArea type="data" outline="0" fieldPosition="0">
        <references count="2">
          <reference field="4294967294" count="1" selected="0">
            <x v="0"/>
          </reference>
          <reference field="0" count="1" selected="0">
            <x v="6"/>
          </reference>
        </references>
      </pivotArea>
    </chartFormat>
    <chartFormat chart="6" format="73" series="1">
      <pivotArea type="data" outline="0" fieldPosition="0">
        <references count="2">
          <reference field="4294967294" count="1" selected="0">
            <x v="0"/>
          </reference>
          <reference field="0" count="1" selected="0">
            <x v="7"/>
          </reference>
        </references>
      </pivotArea>
    </chartFormat>
    <chartFormat chart="6" format="74" series="1">
      <pivotArea type="data" outline="0" fieldPosition="0">
        <references count="2">
          <reference field="4294967294" count="1" selected="0">
            <x v="0"/>
          </reference>
          <reference field="0" count="1" selected="0">
            <x v="8"/>
          </reference>
        </references>
      </pivotArea>
    </chartFormat>
    <chartFormat chart="6" format="75" series="1">
      <pivotArea type="data" outline="0" fieldPosition="0">
        <references count="2">
          <reference field="4294967294" count="1" selected="0">
            <x v="0"/>
          </reference>
          <reference field="0" count="1" selected="0">
            <x v="9"/>
          </reference>
        </references>
      </pivotArea>
    </chartFormat>
    <chartFormat chart="8" format="84" series="1">
      <pivotArea type="data" outline="0" fieldPosition="0">
        <references count="2">
          <reference field="4294967294" count="1" selected="0">
            <x v="0"/>
          </reference>
          <reference field="0" count="1" selected="0">
            <x v="0"/>
          </reference>
        </references>
      </pivotArea>
    </chartFormat>
    <chartFormat chart="8" format="85" series="1">
      <pivotArea type="data" outline="0" fieldPosition="0">
        <references count="2">
          <reference field="4294967294" count="1" selected="0">
            <x v="0"/>
          </reference>
          <reference field="0" count="1" selected="0">
            <x v="1"/>
          </reference>
        </references>
      </pivotArea>
    </chartFormat>
    <chartFormat chart="8" format="86" series="1">
      <pivotArea type="data" outline="0" fieldPosition="0">
        <references count="2">
          <reference field="4294967294" count="1" selected="0">
            <x v="0"/>
          </reference>
          <reference field="0" count="1" selected="0">
            <x v="2"/>
          </reference>
        </references>
      </pivotArea>
    </chartFormat>
    <chartFormat chart="8" format="87" series="1">
      <pivotArea type="data" outline="0" fieldPosition="0">
        <references count="2">
          <reference field="4294967294" count="1" selected="0">
            <x v="0"/>
          </reference>
          <reference field="0" count="1" selected="0">
            <x v="3"/>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0" format="3" series="1">
      <pivotArea type="data" outline="0" fieldPosition="0">
        <references count="1">
          <reference field="4294967294" count="1" selected="0">
            <x v="3"/>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 chart="12" format="10" series="1">
      <pivotArea type="data" outline="0" fieldPosition="0">
        <references count="1">
          <reference field="4294967294" count="1" selected="0">
            <x v="2"/>
          </reference>
        </references>
      </pivotArea>
    </chartFormat>
    <chartFormat chart="1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bupaten" xr10:uid="{E99A4148-3F8C-4174-BDFF-2AE66BFB39D4}" sourceName="Kabupaten">
  <pivotTables>
    <pivotTable tabId="7" name="PivotTable55"/>
    <pivotTable tabId="19" name="PivotTable55"/>
  </pivotTables>
  <data>
    <tabular pivotCacheId="1774813944">
      <items count="10">
        <i x="4" s="1"/>
        <i x="7" s="1"/>
        <i x="9" s="1"/>
        <i x="6" s="1"/>
        <i x="1" s="1"/>
        <i x="0" s="1"/>
        <i x="8" s="1"/>
        <i x="2"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abupaten 1" xr10:uid="{57AB738C-06AD-46EA-953B-2D85D3243276}" cache="Slicer_Kabupaten" caption="Kabupaten"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abupaten 2" xr10:uid="{FE872B79-FD0D-44F7-B134-8622CE5D96FC}" cache="Slicer_Kabupaten" caption="Kabupaten" startItem="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abupaten" xr10:uid="{010BB0F0-AFE3-4781-B3F2-1CE9AC4904B8}" cache="Slicer_Kabupaten" caption="Kabupaten" startItem="2" rowHeight="241300"/>
  <slicer name="Kabupaten 3" xr10:uid="{AECA8E81-3477-4CCB-8C8A-BD9CA08F4282}" cache="Slicer_Kabupaten" caption="Kabupate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A234726-0D54-4426-A27F-BC8E08D924E1}" name="Table1214" displayName="Table1214" ref="A2:F13" totalsRowCount="1" headerRowDxfId="77" dataDxfId="76">
  <autoFilter ref="A2:F12" xr:uid="{DA234726-0D54-4426-A27F-BC8E08D924E1}">
    <filterColumn colId="0" hiddenButton="1"/>
    <filterColumn colId="1" hiddenButton="1"/>
    <filterColumn colId="2" hiddenButton="1"/>
    <filterColumn colId="3" hiddenButton="1"/>
    <filterColumn colId="4" hiddenButton="1"/>
    <filterColumn colId="5" hiddenButton="1"/>
  </autoFilter>
  <tableColumns count="6">
    <tableColumn id="1" xr3:uid="{A35E5369-356E-47CE-AEEB-D27AE34F0D9C}" name="Kabupaten" totalsRowLabel="Total" dataDxfId="75" totalsRowDxfId="74"/>
    <tableColumn id="3" xr3:uid="{43D5ACB2-768D-434B-A7BB-1596A8B8B360}" name="Premium" totalsRowFunction="sum" dataDxfId="73" totalsRowDxfId="72"/>
    <tableColumn id="4" xr3:uid="{FFBE6C85-C9E0-4D96-8EE0-C6FF436652AE}" name="Biosolar" totalsRowFunction="sum" dataDxfId="71" totalsRowDxfId="70"/>
    <tableColumn id="5" xr3:uid="{C5981D82-0439-4DC1-82D1-AA340CA835CE}" name="Minyak Tanah" totalsRowFunction="sum" dataDxfId="69" totalsRowDxfId="68"/>
    <tableColumn id="6" xr3:uid="{56C28E88-E3A2-4FA1-9391-4D4DEF6068D5}" name="LPG" totalsRowFunction="sum" dataDxfId="67" totalsRowDxfId="66"/>
    <tableColumn id="7" xr3:uid="{DF3CEAB8-3AF4-4731-8B9D-AB6B9279AD45}" name="Total" totalsRowFunction="sum" dataDxfId="65" totalsRowDxfId="64">
      <calculatedColumnFormula>Table1214[[#This Row],[Premium]]+Table1214[[#This Row],[Biosolar]]+Table1214[[#This Row],[Minyak Tanah]]+Table1214[[#This Row],[LPG]]</calculatedColumnFormula>
    </tableColumn>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ABF44B6-7DEB-41F7-BCB2-549EDF5973C7}" name="Table121411" displayName="Table121411" ref="I2:J12" totalsRowShown="0" headerRowDxfId="63" dataDxfId="62">
  <autoFilter ref="I2:J12" xr:uid="{1ABF44B6-7DEB-41F7-BCB2-549EDF5973C7}">
    <filterColumn colId="0" hiddenButton="1"/>
    <filterColumn colId="1" hiddenButton="1"/>
  </autoFilter>
  <sortState xmlns:xlrd2="http://schemas.microsoft.com/office/spreadsheetml/2017/richdata2" ref="I3:J12">
    <sortCondition ref="J2:J12"/>
  </sortState>
  <tableColumns count="2">
    <tableColumn id="1" xr3:uid="{27CA790E-F8DD-4040-816A-5621F6D0EAA2}" name="Kabupaten" dataDxfId="61"/>
    <tableColumn id="3" xr3:uid="{395004F7-F885-4DA5-B2E1-AEF83C2DE04A}" name="Premium" dataDxfId="60" totalsRowDxfId="59"/>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E39105C-E7D6-447D-A160-878F8B498502}" name="Table121412" displayName="Table121412" ref="L2:M12" totalsRowShown="0" headerRowDxfId="58" dataDxfId="57">
  <autoFilter ref="L2:M12" xr:uid="{3E39105C-E7D6-447D-A160-878F8B498502}">
    <filterColumn colId="0" hiddenButton="1"/>
    <filterColumn colId="1" hiddenButton="1"/>
  </autoFilter>
  <sortState xmlns:xlrd2="http://schemas.microsoft.com/office/spreadsheetml/2017/richdata2" ref="L3:M12">
    <sortCondition ref="M2:M12"/>
  </sortState>
  <tableColumns count="2">
    <tableColumn id="1" xr3:uid="{ADBBEC29-5A7C-458D-95D5-0F15C992F08A}" name="Kabupaten" dataDxfId="56"/>
    <tableColumn id="4" xr3:uid="{D7ECD7C3-225E-4194-B7E2-A2CCDDD5F707}" name="Biosolar" dataDxfId="55" totalsRowDxfId="54"/>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6CD5F2A-F953-4FEB-9D42-429F3D9BFCF7}" name="Table121413" displayName="Table121413" ref="I14:J24" totalsRowShown="0" headerRowDxfId="53" dataDxfId="52">
  <autoFilter ref="I14:J24" xr:uid="{86CD5F2A-F953-4FEB-9D42-429F3D9BFCF7}">
    <filterColumn colId="0" hiddenButton="1"/>
    <filterColumn colId="1" hiddenButton="1"/>
  </autoFilter>
  <sortState xmlns:xlrd2="http://schemas.microsoft.com/office/spreadsheetml/2017/richdata2" ref="I15:J24">
    <sortCondition ref="J14:J24"/>
  </sortState>
  <tableColumns count="2">
    <tableColumn id="1" xr3:uid="{FAF5182A-A789-480B-BA00-3B2D8F084D71}" name="Kabupaten" dataDxfId="51"/>
    <tableColumn id="5" xr3:uid="{53EC8D0A-CD9F-45C1-B30F-009C29F6C09C}" name="Minyak Tanah" dataDxfId="50" totalsRowDxfId="49"/>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5D5D945-B2EF-4755-8391-C0508E459A52}" name="Table121418" displayName="Table121418" ref="L14:M24" totalsRowShown="0" headerRowDxfId="48" dataDxfId="47">
  <autoFilter ref="L14:M24" xr:uid="{25D5D945-B2EF-4755-8391-C0508E459A52}">
    <filterColumn colId="0" hiddenButton="1"/>
    <filterColumn colId="1" hiddenButton="1"/>
  </autoFilter>
  <sortState xmlns:xlrd2="http://schemas.microsoft.com/office/spreadsheetml/2017/richdata2" ref="L15:M24">
    <sortCondition ref="M14:M24"/>
  </sortState>
  <tableColumns count="2">
    <tableColumn id="1" xr3:uid="{F5F1F7E3-F58B-477E-B022-ABF751B2C83A}" name="Kabupaten" dataDxfId="46"/>
    <tableColumn id="6" xr3:uid="{94A25442-0F33-4A2F-A2AE-E21AA07CE653}" name="LPG" dataDxfId="45" totalsRowDxfId="44"/>
  </tableColumns>
  <tableStyleInfo name="TableStyleMedium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C1F0B82-DCFD-4160-BCD9-77D32419BF9A}" name="Table121422" displayName="Table121422" ref="A3:F13" totalsRowShown="0" headerRowDxfId="43" dataDxfId="42">
  <autoFilter ref="A3:F13" xr:uid="{6C1F0B82-DCFD-4160-BCD9-77D32419BF9A}"/>
  <tableColumns count="6">
    <tableColumn id="1" xr3:uid="{32CFC8E6-4A5B-4304-9CF4-71EA20A9B7D5}" name="Kabupaten" dataDxfId="41"/>
    <tableColumn id="3" xr3:uid="{F5C34762-1450-4246-9557-280D1B371ADC}" name="Premium" dataDxfId="40" totalsRowDxfId="39"/>
    <tableColumn id="4" xr3:uid="{D816D539-21EF-47B7-8A05-97776916F4F1}" name="Biosolar" dataDxfId="38" totalsRowDxfId="37"/>
    <tableColumn id="5" xr3:uid="{4F2C08B7-2142-4648-B18B-8C02488D8C25}" name="Minyak Tanah" dataDxfId="36" totalsRowDxfId="35"/>
    <tableColumn id="6" xr3:uid="{2A85635F-FBE3-457A-A776-360EB4E20710}" name="LPG" dataDxfId="34" totalsRowDxfId="33"/>
    <tableColumn id="7" xr3:uid="{04674BC3-530C-4846-B8B4-1EB22923F580}" name="Total" dataDxfId="32" totalsRowDxfId="31">
      <calculatedColumnFormula>Table121422[[#This Row],[Premium]]+Table121422[[#This Row],[Biosolar]]+Table121422[[#This Row],[Minyak Tanah]]+Table121422[[#This Row],[LPG]]</calculatedColumnFormula>
    </tableColumn>
  </tableColumns>
  <tableStyleInfo name="TableStyleMedium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B3F647B-7090-4C6F-AB0C-FEAC4D585FB2}" name="Table121428" displayName="Table121428" ref="A2:F12" totalsRowShown="0" headerRowDxfId="30" dataDxfId="29">
  <autoFilter ref="A2:F12" xr:uid="{CB3F647B-7090-4C6F-AB0C-FEAC4D585FB2}">
    <filterColumn colId="0" hiddenButton="1"/>
    <filterColumn colId="1" hiddenButton="1"/>
    <filterColumn colId="2" hiddenButton="1"/>
    <filterColumn colId="3" hiddenButton="1"/>
    <filterColumn colId="4" hiddenButton="1"/>
    <filterColumn colId="5" hiddenButton="1"/>
  </autoFilter>
  <tableColumns count="6">
    <tableColumn id="1" xr3:uid="{1F9D723B-F256-4DE3-9252-3343FB4D55DC}" name="Kabupaten" dataDxfId="28"/>
    <tableColumn id="3" xr3:uid="{DD2CCFFE-5E04-4706-BC91-D4AD9F781C23}" name="Premium" dataDxfId="27" totalsRowDxfId="26"/>
    <tableColumn id="4" xr3:uid="{281ED14A-9ED1-4771-8D06-D05630B80112}" name="Bisolar" dataDxfId="25" totalsRowDxfId="24"/>
    <tableColumn id="5" xr3:uid="{A93445EF-DCB1-4D98-A791-D450F7BCB17C}" name="Minyak Tanah" dataDxfId="23" totalsRowDxfId="22"/>
    <tableColumn id="6" xr3:uid="{8073D1F3-DC66-45C6-BB38-4AFA53D0A7FB}" name="LPG" dataDxfId="21" totalsRowDxfId="20"/>
    <tableColumn id="7" xr3:uid="{423250B9-8AED-4E85-A2D0-26C6CE61F0E5}" name="Total" dataDxfId="19" totalsRowDxfId="18">
      <calculatedColumnFormula>Table121428[[#This Row],[Premium]]+Table121428[[#This Row],[Bisolar]]+Table121428[[#This Row],[Minyak Tanah]]+Table121428[[#This Row],[LPG]]</calculatedColumnFormula>
    </tableColumn>
  </tableColumns>
  <tableStyleInfo name="TableStyleMedium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8660D04-AEBD-469B-839A-AD5C3D708ACD}" name="Table12142829" displayName="Table12142829" ref="J2:N12" totalsRowShown="0" headerRowDxfId="17" dataDxfId="16">
  <autoFilter ref="J2:N12" xr:uid="{E8660D04-AEBD-469B-839A-AD5C3D708ACD}">
    <filterColumn colId="0" hiddenButton="1"/>
    <filterColumn colId="1" hiddenButton="1"/>
    <filterColumn colId="2" hiddenButton="1"/>
    <filterColumn colId="3" hiddenButton="1"/>
    <filterColumn colId="4" hiddenButton="1"/>
  </autoFilter>
  <tableColumns count="5">
    <tableColumn id="1" xr3:uid="{0B3DAF19-8B19-4C72-B342-7EE6DE07A280}" name="Kabupaten" dataDxfId="15"/>
    <tableColumn id="3" xr3:uid="{B19BC0B3-2BE0-447A-8A7F-FB976EBB4E3A}" name="Premium" dataDxfId="14" totalsRowDxfId="13">
      <calculatedColumnFormula>(Table121428[[#This Row],[Premium]]-B$17)/B$22</calculatedColumnFormula>
    </tableColumn>
    <tableColumn id="4" xr3:uid="{50D6BE1A-D7E2-437F-A05D-FE7BF8D05E54}" name="Biosolar" dataDxfId="12" totalsRowDxfId="11">
      <calculatedColumnFormula>(Table121428[[#This Row],[Bisolar]]-C$17)/C$22</calculatedColumnFormula>
    </tableColumn>
    <tableColumn id="5" xr3:uid="{5586724E-1F9C-4C4C-8610-E5DC37D75FF1}" name="Minyak Tanah" dataDxfId="10" totalsRowDxfId="9">
      <calculatedColumnFormula>(Table121428[[#This Row],[Minyak Tanah]]-D$17)/D$22</calculatedColumnFormula>
    </tableColumn>
    <tableColumn id="6" xr3:uid="{5DFA76C9-8DAD-4EE0-BC2C-E59B7E563C73}" name="LPG" dataDxfId="8" totalsRowDxfId="7">
      <calculatedColumnFormula>(Table121428[[#This Row],[LPG]]-E$17)/E$22</calculatedColumnFormula>
    </tableColumn>
  </tableColumns>
  <tableStyleInfo name="TableStyleMedium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3F7211-8B90-4305-B755-DC47FB42C28F}" name="Table1" displayName="Table1" ref="H19:K20" totalsRowShown="0" headerRowDxfId="5" dataDxfId="4">
  <autoFilter ref="H19:K20" xr:uid="{CD3F7211-8B90-4305-B755-DC47FB42C28F}"/>
  <tableColumns count="4">
    <tableColumn id="1" xr3:uid="{8A0C142C-49AD-4329-9548-15C08469885D}" name="Premium" dataDxfId="3"/>
    <tableColumn id="2" xr3:uid="{BC32D553-5B6B-4373-AC6E-31113D4DA1FB}" name="Bisolar" dataDxfId="2"/>
    <tableColumn id="3" xr3:uid="{33681951-5B1A-48F3-8B5F-EC4CBA427A09}" name="Minyak Tanah" dataDxfId="1"/>
    <tableColumn id="4" xr3:uid="{62038264-EF25-42D0-9C75-EBDA6BCB53B1}" name="LP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6.bin"/><Relationship Id="rId1" Type="http://schemas.openxmlformats.org/officeDocument/2006/relationships/pivotTable" Target="../pivotTables/pivotTable2.xml"/><Relationship Id="rId5" Type="http://schemas.microsoft.com/office/2007/relationships/slicer" Target="../slicers/slicer3.xml"/><Relationship Id="rId4"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B96D0-C48B-4A09-B383-AFA06303E97C}">
  <dimension ref="A1:M25"/>
  <sheetViews>
    <sheetView showGridLines="0" topLeftCell="B1" zoomScaleNormal="100" workbookViewId="0">
      <selection activeCell="L14" sqref="L14"/>
    </sheetView>
  </sheetViews>
  <sheetFormatPr defaultRowHeight="14.5" x14ac:dyDescent="0.35"/>
  <cols>
    <col min="1" max="1" width="22.453125" customWidth="1"/>
    <col min="2" max="2" width="14.1796875" customWidth="1"/>
    <col min="3" max="3" width="13.90625" customWidth="1"/>
    <col min="4" max="4" width="16.08984375" customWidth="1"/>
    <col min="5" max="5" width="11.6328125" customWidth="1"/>
    <col min="6" max="6" width="22.7265625" customWidth="1"/>
    <col min="9" max="9" width="19.81640625" customWidth="1"/>
    <col min="10" max="10" width="17.81640625" customWidth="1"/>
    <col min="11" max="11" width="8.7265625" customWidth="1"/>
    <col min="12" max="12" width="19" customWidth="1"/>
    <col min="13" max="13" width="13.1796875" customWidth="1"/>
  </cols>
  <sheetData>
    <row r="1" spans="1:13" ht="15.5" x14ac:dyDescent="0.35">
      <c r="A1" s="65" t="s">
        <v>54</v>
      </c>
      <c r="B1" s="66"/>
      <c r="C1" s="66"/>
      <c r="D1" s="66"/>
      <c r="E1" s="66"/>
      <c r="F1" s="66"/>
      <c r="G1" s="66"/>
      <c r="H1" s="2"/>
      <c r="I1" s="9" t="s">
        <v>27</v>
      </c>
      <c r="J1" s="2"/>
      <c r="K1" s="2"/>
      <c r="L1" s="2"/>
      <c r="M1" s="2"/>
    </row>
    <row r="2" spans="1:13" ht="15.5" x14ac:dyDescent="0.35">
      <c r="A2" s="35" t="s">
        <v>30</v>
      </c>
      <c r="B2" s="35" t="s">
        <v>1</v>
      </c>
      <c r="C2" s="35" t="s">
        <v>61</v>
      </c>
      <c r="D2" s="35" t="s">
        <v>3</v>
      </c>
      <c r="E2" s="35" t="s">
        <v>4</v>
      </c>
      <c r="F2" s="35" t="s">
        <v>14</v>
      </c>
      <c r="G2" s="2"/>
      <c r="H2" s="2"/>
      <c r="I2" s="35" t="s">
        <v>30</v>
      </c>
      <c r="J2" s="35" t="s">
        <v>1</v>
      </c>
      <c r="K2" s="2"/>
      <c r="L2" s="35" t="s">
        <v>30</v>
      </c>
      <c r="M2" s="35" t="s">
        <v>61</v>
      </c>
    </row>
    <row r="3" spans="1:13" ht="15.5" x14ac:dyDescent="0.35">
      <c r="A3" s="36" t="s">
        <v>5</v>
      </c>
      <c r="B3" s="37">
        <v>4398</v>
      </c>
      <c r="C3" s="37">
        <v>1096</v>
      </c>
      <c r="D3" s="37">
        <v>0</v>
      </c>
      <c r="E3" s="38">
        <v>1490</v>
      </c>
      <c r="F3" s="39">
        <f>Table1214[[#This Row],[Premium]]+Table1214[[#This Row],[Biosolar]]+Table1214[[#This Row],[Minyak Tanah]]+Table1214[[#This Row],[LPG]]</f>
        <v>6984</v>
      </c>
      <c r="G3" s="2"/>
      <c r="H3" s="2"/>
      <c r="I3" s="36" t="s">
        <v>5</v>
      </c>
      <c r="J3" s="37">
        <v>4398</v>
      </c>
      <c r="K3" s="2"/>
      <c r="L3" s="36" t="s">
        <v>5</v>
      </c>
      <c r="M3" s="37">
        <v>1096</v>
      </c>
    </row>
    <row r="4" spans="1:13" ht="15.5" x14ac:dyDescent="0.35">
      <c r="A4" s="7" t="s">
        <v>6</v>
      </c>
      <c r="B4" s="3">
        <v>36520</v>
      </c>
      <c r="C4" s="3">
        <v>23336</v>
      </c>
      <c r="D4" s="3">
        <v>15</v>
      </c>
      <c r="E4" s="8">
        <v>8585</v>
      </c>
      <c r="F4" s="1">
        <f>Table1214[[#This Row],[Premium]]+Table1214[[#This Row],[Biosolar]]+Table1214[[#This Row],[Minyak Tanah]]+Table1214[[#This Row],[LPG]]</f>
        <v>68456</v>
      </c>
      <c r="G4" s="2"/>
      <c r="H4" s="2"/>
      <c r="I4" s="7" t="s">
        <v>7</v>
      </c>
      <c r="J4" s="3">
        <v>13966</v>
      </c>
      <c r="K4" s="2"/>
      <c r="L4" s="7" t="s">
        <v>7</v>
      </c>
      <c r="M4" s="3">
        <v>13304</v>
      </c>
    </row>
    <row r="5" spans="1:13" ht="15.5" x14ac:dyDescent="0.35">
      <c r="A5" s="36" t="s">
        <v>7</v>
      </c>
      <c r="B5" s="37">
        <v>13966</v>
      </c>
      <c r="C5" s="37">
        <v>13304</v>
      </c>
      <c r="D5" s="37">
        <v>0</v>
      </c>
      <c r="E5" s="38">
        <v>7607</v>
      </c>
      <c r="F5" s="39">
        <f>Table1214[[#This Row],[Premium]]+Table1214[[#This Row],[Biosolar]]+Table1214[[#This Row],[Minyak Tanah]]+Table1214[[#This Row],[LPG]]</f>
        <v>34877</v>
      </c>
      <c r="G5" s="2"/>
      <c r="H5" s="2"/>
      <c r="I5" s="36" t="s">
        <v>9</v>
      </c>
      <c r="J5" s="37">
        <v>22174</v>
      </c>
      <c r="K5" s="2"/>
      <c r="L5" s="36" t="s">
        <v>13</v>
      </c>
      <c r="M5" s="37">
        <v>13488</v>
      </c>
    </row>
    <row r="6" spans="1:13" ht="15.5" x14ac:dyDescent="0.35">
      <c r="A6" s="7" t="s">
        <v>8</v>
      </c>
      <c r="B6" s="3">
        <v>28455</v>
      </c>
      <c r="C6" s="3">
        <v>24880</v>
      </c>
      <c r="D6" s="3">
        <v>0</v>
      </c>
      <c r="E6" s="8">
        <v>7372</v>
      </c>
      <c r="F6" s="1">
        <f>Table1214[[#This Row],[Premium]]+Table1214[[#This Row],[Biosolar]]+Table1214[[#This Row],[Minyak Tanah]]+Table1214[[#This Row],[LPG]]</f>
        <v>60707</v>
      </c>
      <c r="G6" s="2"/>
      <c r="H6" s="2"/>
      <c r="I6" s="7" t="s">
        <v>13</v>
      </c>
      <c r="J6" s="3">
        <v>22583</v>
      </c>
      <c r="K6" s="2"/>
      <c r="L6" s="7" t="s">
        <v>9</v>
      </c>
      <c r="M6" s="3">
        <v>20091</v>
      </c>
    </row>
    <row r="7" spans="1:13" ht="15.5" x14ac:dyDescent="0.35">
      <c r="A7" s="36" t="s">
        <v>58</v>
      </c>
      <c r="B7" s="37">
        <v>25309</v>
      </c>
      <c r="C7" s="37">
        <v>27024</v>
      </c>
      <c r="D7" s="37">
        <v>0</v>
      </c>
      <c r="E7" s="38">
        <v>8341</v>
      </c>
      <c r="F7" s="39">
        <f>Table1214[[#This Row],[Premium]]+Table1214[[#This Row],[Biosolar]]+Table1214[[#This Row],[Minyak Tanah]]+Table1214[[#This Row],[LPG]]</f>
        <v>60674</v>
      </c>
      <c r="G7" s="2"/>
      <c r="H7" s="2"/>
      <c r="I7" s="36" t="s">
        <v>58</v>
      </c>
      <c r="J7" s="37">
        <v>25309</v>
      </c>
      <c r="K7" s="2"/>
      <c r="L7" s="36" t="s">
        <v>6</v>
      </c>
      <c r="M7" s="37">
        <v>23336</v>
      </c>
    </row>
    <row r="8" spans="1:13" ht="15.5" x14ac:dyDescent="0.35">
      <c r="A8" s="7" t="s">
        <v>9</v>
      </c>
      <c r="B8" s="3">
        <v>22174</v>
      </c>
      <c r="C8" s="3">
        <v>20091</v>
      </c>
      <c r="D8" s="3">
        <v>0</v>
      </c>
      <c r="E8" s="8">
        <v>6408</v>
      </c>
      <c r="F8" s="1">
        <f>Table1214[[#This Row],[Premium]]+Table1214[[#This Row],[Biosolar]]+Table1214[[#This Row],[Minyak Tanah]]+Table1214[[#This Row],[LPG]]</f>
        <v>48673</v>
      </c>
      <c r="G8" s="2"/>
      <c r="H8" s="2"/>
      <c r="I8" s="7" t="s">
        <v>8</v>
      </c>
      <c r="J8" s="3">
        <v>28455</v>
      </c>
      <c r="K8" s="2"/>
      <c r="L8" s="7" t="s">
        <v>8</v>
      </c>
      <c r="M8" s="3">
        <v>24880</v>
      </c>
    </row>
    <row r="9" spans="1:13" ht="15.5" x14ac:dyDescent="0.35">
      <c r="A9" s="36" t="s">
        <v>10</v>
      </c>
      <c r="B9" s="37">
        <v>57629</v>
      </c>
      <c r="C9" s="37">
        <v>49452</v>
      </c>
      <c r="D9" s="37">
        <v>0</v>
      </c>
      <c r="E9" s="38">
        <v>15826</v>
      </c>
      <c r="F9" s="39">
        <f>Table1214[[#This Row],[Premium]]+Table1214[[#This Row],[Biosolar]]+Table1214[[#This Row],[Minyak Tanah]]+Table1214[[#This Row],[LPG]]</f>
        <v>122907</v>
      </c>
      <c r="G9" s="2"/>
      <c r="H9" s="2"/>
      <c r="I9" s="36" t="s">
        <v>6</v>
      </c>
      <c r="J9" s="37">
        <v>36520</v>
      </c>
      <c r="K9" s="2"/>
      <c r="L9" s="36" t="s">
        <v>58</v>
      </c>
      <c r="M9" s="37">
        <v>27024</v>
      </c>
    </row>
    <row r="10" spans="1:13" ht="15.5" x14ac:dyDescent="0.35">
      <c r="A10" s="7" t="s">
        <v>11</v>
      </c>
      <c r="B10" s="3">
        <v>81463</v>
      </c>
      <c r="C10" s="3">
        <v>50053</v>
      </c>
      <c r="D10" s="3">
        <v>0</v>
      </c>
      <c r="E10" s="8">
        <v>23671</v>
      </c>
      <c r="F10" s="1">
        <f>Table1214[[#This Row],[Premium]]+Table1214[[#This Row],[Biosolar]]+Table1214[[#This Row],[Minyak Tanah]]+Table1214[[#This Row],[LPG]]</f>
        <v>155187</v>
      </c>
      <c r="G10" s="2"/>
      <c r="H10" s="2"/>
      <c r="I10" s="7" t="s">
        <v>10</v>
      </c>
      <c r="J10" s="3">
        <v>57629</v>
      </c>
      <c r="K10" s="2"/>
      <c r="L10" s="7" t="s">
        <v>12</v>
      </c>
      <c r="M10" s="3">
        <v>40215</v>
      </c>
    </row>
    <row r="11" spans="1:13" ht="15.5" x14ac:dyDescent="0.35">
      <c r="A11" s="36" t="s">
        <v>12</v>
      </c>
      <c r="B11" s="37">
        <v>58427</v>
      </c>
      <c r="C11" s="37">
        <v>40215</v>
      </c>
      <c r="D11" s="37">
        <v>0</v>
      </c>
      <c r="E11" s="38">
        <v>29310</v>
      </c>
      <c r="F11" s="39">
        <f>Table1214[[#This Row],[Premium]]+Table1214[[#This Row],[Biosolar]]+Table1214[[#This Row],[Minyak Tanah]]+Table1214[[#This Row],[LPG]]</f>
        <v>127952</v>
      </c>
      <c r="G11" s="2"/>
      <c r="H11" s="2"/>
      <c r="I11" s="36" t="s">
        <v>12</v>
      </c>
      <c r="J11" s="37">
        <v>58427</v>
      </c>
      <c r="K11" s="2"/>
      <c r="L11" s="36" t="s">
        <v>10</v>
      </c>
      <c r="M11" s="37">
        <v>49452</v>
      </c>
    </row>
    <row r="12" spans="1:13" ht="15.5" x14ac:dyDescent="0.35">
      <c r="A12" s="7" t="s">
        <v>13</v>
      </c>
      <c r="B12" s="3">
        <v>22583</v>
      </c>
      <c r="C12" s="3">
        <v>13488</v>
      </c>
      <c r="D12" s="3">
        <v>0</v>
      </c>
      <c r="E12" s="8">
        <v>8299</v>
      </c>
      <c r="F12" s="1">
        <f>Table1214[[#This Row],[Premium]]+Table1214[[#This Row],[Biosolar]]+Table1214[[#This Row],[Minyak Tanah]]+Table1214[[#This Row],[LPG]]</f>
        <v>44370</v>
      </c>
      <c r="G12" s="2"/>
      <c r="H12" s="2"/>
      <c r="I12" s="7" t="s">
        <v>11</v>
      </c>
      <c r="J12" s="3">
        <v>81463</v>
      </c>
      <c r="K12" s="2"/>
      <c r="L12" s="7" t="s">
        <v>11</v>
      </c>
      <c r="M12" s="3">
        <v>50053</v>
      </c>
    </row>
    <row r="13" spans="1:13" ht="15.5" x14ac:dyDescent="0.35">
      <c r="A13" s="7" t="s">
        <v>14</v>
      </c>
      <c r="B13" s="18">
        <f>SUBTOTAL(109,Table1214[Premium])</f>
        <v>350924</v>
      </c>
      <c r="C13" s="18">
        <f>SUBTOTAL(109,Table1214[Biosolar])</f>
        <v>262939</v>
      </c>
      <c r="D13" s="24">
        <f>SUBTOTAL(109,Table1214[Minyak Tanah])</f>
        <v>15</v>
      </c>
      <c r="E13" s="22">
        <f>SUBTOTAL(109,Table1214[LPG])</f>
        <v>116909</v>
      </c>
      <c r="F13" s="23">
        <f>SUBTOTAL(109,Table1214[Total])</f>
        <v>730787</v>
      </c>
      <c r="G13" s="2"/>
      <c r="H13" s="2"/>
      <c r="I13" s="2"/>
      <c r="J13" s="2"/>
      <c r="K13" s="2"/>
      <c r="L13" s="2"/>
      <c r="M13" s="2"/>
    </row>
    <row r="14" spans="1:13" ht="15.5" x14ac:dyDescent="0.35">
      <c r="A14" s="2"/>
      <c r="B14" s="2"/>
      <c r="C14" s="2"/>
      <c r="D14" s="2"/>
      <c r="E14" s="2"/>
      <c r="F14" s="2"/>
      <c r="G14" s="2"/>
      <c r="H14" s="2"/>
      <c r="I14" s="35" t="s">
        <v>30</v>
      </c>
      <c r="J14" s="35" t="s">
        <v>3</v>
      </c>
      <c r="K14" s="2"/>
      <c r="L14" s="35" t="s">
        <v>30</v>
      </c>
      <c r="M14" s="35" t="s">
        <v>4</v>
      </c>
    </row>
    <row r="15" spans="1:13" ht="15.5" x14ac:dyDescent="0.35">
      <c r="A15" s="2"/>
      <c r="B15" s="2"/>
      <c r="C15" s="2"/>
      <c r="D15" s="2"/>
      <c r="E15" s="2"/>
      <c r="F15" s="2"/>
      <c r="G15" s="2"/>
      <c r="H15" s="2"/>
      <c r="I15" s="36" t="s">
        <v>5</v>
      </c>
      <c r="J15" s="37">
        <v>0</v>
      </c>
      <c r="K15" s="2"/>
      <c r="L15" s="36" t="s">
        <v>5</v>
      </c>
      <c r="M15" s="38">
        <v>1490</v>
      </c>
    </row>
    <row r="16" spans="1:13" ht="15.5" x14ac:dyDescent="0.35">
      <c r="A16" s="2"/>
      <c r="B16" s="2"/>
      <c r="C16" s="2"/>
      <c r="D16" s="2"/>
      <c r="E16" s="2"/>
      <c r="F16" s="2"/>
      <c r="G16" s="2"/>
      <c r="H16" s="2"/>
      <c r="I16" s="7" t="s">
        <v>7</v>
      </c>
      <c r="J16" s="3">
        <v>0</v>
      </c>
      <c r="K16" s="2"/>
      <c r="L16" s="7" t="s">
        <v>9</v>
      </c>
      <c r="M16" s="8">
        <v>6408</v>
      </c>
    </row>
    <row r="17" spans="1:13" ht="15.5" x14ac:dyDescent="0.35">
      <c r="A17" s="2"/>
      <c r="B17" s="2"/>
      <c r="C17" s="2"/>
      <c r="D17" s="2"/>
      <c r="E17" s="2"/>
      <c r="F17" s="2"/>
      <c r="G17" s="2"/>
      <c r="H17" s="2"/>
      <c r="I17" s="36" t="s">
        <v>8</v>
      </c>
      <c r="J17" s="37">
        <v>0</v>
      </c>
      <c r="K17" s="2"/>
      <c r="L17" s="36" t="s">
        <v>8</v>
      </c>
      <c r="M17" s="38">
        <v>7372</v>
      </c>
    </row>
    <row r="18" spans="1:13" ht="15.5" x14ac:dyDescent="0.35">
      <c r="A18" s="2"/>
      <c r="B18" s="2"/>
      <c r="C18" s="2"/>
      <c r="D18" s="2"/>
      <c r="E18" s="2"/>
      <c r="F18" s="2"/>
      <c r="G18" s="2"/>
      <c r="H18" s="2"/>
      <c r="I18" s="7" t="s">
        <v>58</v>
      </c>
      <c r="J18" s="3">
        <v>0</v>
      </c>
      <c r="K18" s="2"/>
      <c r="L18" s="7" t="s">
        <v>7</v>
      </c>
      <c r="M18" s="8">
        <v>7607</v>
      </c>
    </row>
    <row r="19" spans="1:13" ht="15.5" x14ac:dyDescent="0.35">
      <c r="A19" s="2"/>
      <c r="B19" s="2"/>
      <c r="C19" s="2"/>
      <c r="D19" s="2"/>
      <c r="E19" s="2"/>
      <c r="F19" s="2"/>
      <c r="G19" s="2"/>
      <c r="H19" s="2"/>
      <c r="I19" s="36" t="s">
        <v>9</v>
      </c>
      <c r="J19" s="37">
        <v>0</v>
      </c>
      <c r="K19" s="2"/>
      <c r="L19" s="36" t="s">
        <v>13</v>
      </c>
      <c r="M19" s="38">
        <v>8299</v>
      </c>
    </row>
    <row r="20" spans="1:13" ht="15.5" x14ac:dyDescent="0.35">
      <c r="A20" s="2"/>
      <c r="B20" s="2"/>
      <c r="C20" s="2"/>
      <c r="D20" s="2"/>
      <c r="E20" s="2"/>
      <c r="F20" s="2"/>
      <c r="G20" s="2"/>
      <c r="H20" s="2"/>
      <c r="I20" s="7" t="s">
        <v>10</v>
      </c>
      <c r="J20" s="3">
        <v>0</v>
      </c>
      <c r="K20" s="2"/>
      <c r="L20" s="7" t="s">
        <v>58</v>
      </c>
      <c r="M20" s="8">
        <v>8341</v>
      </c>
    </row>
    <row r="21" spans="1:13" ht="15.5" x14ac:dyDescent="0.35">
      <c r="A21" s="2"/>
      <c r="B21" s="2"/>
      <c r="C21" s="2"/>
      <c r="D21" s="2"/>
      <c r="E21" s="2"/>
      <c r="F21" s="2"/>
      <c r="G21" s="2"/>
      <c r="H21" s="2"/>
      <c r="I21" s="36" t="s">
        <v>11</v>
      </c>
      <c r="J21" s="37">
        <v>0</v>
      </c>
      <c r="K21" s="2"/>
      <c r="L21" s="36" t="s">
        <v>6</v>
      </c>
      <c r="M21" s="38">
        <v>8585</v>
      </c>
    </row>
    <row r="22" spans="1:13" ht="15.5" x14ac:dyDescent="0.35">
      <c r="A22" s="2"/>
      <c r="B22" s="2"/>
      <c r="C22" s="2"/>
      <c r="D22" s="2"/>
      <c r="E22" s="2"/>
      <c r="F22" s="2"/>
      <c r="G22" s="2"/>
      <c r="H22" s="2"/>
      <c r="I22" s="7" t="s">
        <v>12</v>
      </c>
      <c r="J22" s="3">
        <v>0</v>
      </c>
      <c r="K22" s="2"/>
      <c r="L22" s="7" t="s">
        <v>10</v>
      </c>
      <c r="M22" s="8">
        <v>15826</v>
      </c>
    </row>
    <row r="23" spans="1:13" ht="15.5" x14ac:dyDescent="0.35">
      <c r="A23" s="2"/>
      <c r="B23" s="2"/>
      <c r="C23" s="2"/>
      <c r="D23" s="2"/>
      <c r="E23" s="2"/>
      <c r="F23" s="2"/>
      <c r="G23" s="2"/>
      <c r="H23" s="2"/>
      <c r="I23" s="36" t="s">
        <v>13</v>
      </c>
      <c r="J23" s="37">
        <v>0</v>
      </c>
      <c r="K23" s="2"/>
      <c r="L23" s="36" t="s">
        <v>11</v>
      </c>
      <c r="M23" s="38">
        <v>23671</v>
      </c>
    </row>
    <row r="24" spans="1:13" ht="15.5" x14ac:dyDescent="0.35">
      <c r="A24" s="2"/>
      <c r="B24" s="2"/>
      <c r="C24" s="2"/>
      <c r="D24" s="2"/>
      <c r="E24" s="2"/>
      <c r="F24" s="2"/>
      <c r="G24" s="2"/>
      <c r="H24" s="2"/>
      <c r="I24" s="7" t="s">
        <v>6</v>
      </c>
      <c r="J24" s="3">
        <v>15</v>
      </c>
      <c r="K24" s="2"/>
      <c r="L24" s="7" t="s">
        <v>12</v>
      </c>
      <c r="M24" s="8">
        <v>29310</v>
      </c>
    </row>
    <row r="25" spans="1:13" ht="15.5" x14ac:dyDescent="0.35">
      <c r="A25" s="2"/>
      <c r="B25" s="2"/>
      <c r="C25" s="2"/>
      <c r="D25" s="2"/>
      <c r="E25" s="2"/>
      <c r="F25" s="2"/>
    </row>
  </sheetData>
  <mergeCells count="1">
    <mergeCell ref="A1:G1"/>
  </mergeCells>
  <pageMargins left="0.7" right="0.7" top="0.75" bottom="0.75" header="0.3" footer="0.3"/>
  <pageSetup orientation="portrait" r:id="rId1"/>
  <tableParts count="5">
    <tablePart r:id="rId2"/>
    <tablePart r:id="rId3"/>
    <tablePart r:id="rId4"/>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FF126-C718-40CB-8123-3841249FE037}">
  <dimension ref="A1:Q49"/>
  <sheetViews>
    <sheetView tabSelected="1" zoomScaleNormal="100" workbookViewId="0"/>
  </sheetViews>
  <sheetFormatPr defaultRowHeight="14.5" x14ac:dyDescent="0.35"/>
  <cols>
    <col min="1" max="1" width="15.6328125" customWidth="1"/>
    <col min="2" max="2" width="3.26953125" customWidth="1"/>
    <col min="3" max="3" width="19.08984375" customWidth="1"/>
    <col min="4" max="4" width="11.1796875" customWidth="1"/>
    <col min="5" max="5" width="11.7265625" customWidth="1"/>
    <col min="6" max="6" width="14.54296875" customWidth="1"/>
    <col min="7" max="7" width="10.6328125" customWidth="1"/>
  </cols>
  <sheetData>
    <row r="1" spans="1:17" ht="76" customHeight="1" x14ac:dyDescent="0.35">
      <c r="A1" s="21"/>
      <c r="B1" s="21"/>
      <c r="C1" s="21"/>
      <c r="D1" s="21"/>
      <c r="E1" s="21"/>
      <c r="F1" s="21"/>
      <c r="G1" s="21"/>
      <c r="H1" s="21"/>
      <c r="I1" s="21"/>
      <c r="J1" s="21"/>
      <c r="K1" s="21"/>
      <c r="L1" s="21"/>
      <c r="M1" s="21"/>
      <c r="N1" s="21"/>
      <c r="O1" s="21"/>
      <c r="P1" s="21"/>
      <c r="Q1" s="21"/>
    </row>
    <row r="2" spans="1:17" x14ac:dyDescent="0.35">
      <c r="A2" s="21"/>
      <c r="B2" s="21"/>
      <c r="C2" s="21"/>
      <c r="D2" s="21"/>
      <c r="E2" s="21"/>
      <c r="F2" s="21"/>
      <c r="G2" s="21"/>
      <c r="H2" s="21"/>
      <c r="I2" s="21"/>
      <c r="J2" s="28"/>
      <c r="K2" s="21"/>
      <c r="L2" s="21"/>
      <c r="M2" s="21"/>
      <c r="N2" s="21"/>
      <c r="O2" s="21"/>
      <c r="P2" s="21"/>
      <c r="Q2" s="21"/>
    </row>
    <row r="3" spans="1:17" ht="15.5" customHeight="1" x14ac:dyDescent="0.35">
      <c r="A3" s="21"/>
      <c r="B3" s="21"/>
      <c r="C3" s="63"/>
      <c r="D3" s="63"/>
      <c r="E3" s="63"/>
      <c r="F3" s="63"/>
      <c r="G3" s="63"/>
      <c r="H3" s="21"/>
      <c r="I3" s="21"/>
      <c r="J3" s="21"/>
      <c r="K3" s="21"/>
      <c r="L3" s="21"/>
      <c r="M3" s="21"/>
      <c r="N3" s="21"/>
      <c r="O3" s="21"/>
      <c r="P3" s="21"/>
      <c r="Q3" s="21"/>
    </row>
    <row r="4" spans="1:17" ht="14.5" customHeight="1" x14ac:dyDescent="0.35">
      <c r="A4" s="21"/>
      <c r="B4" s="21"/>
      <c r="C4" s="64"/>
      <c r="D4" s="64"/>
      <c r="E4" s="64"/>
      <c r="F4" s="64"/>
      <c r="G4" s="64"/>
      <c r="H4" s="21"/>
      <c r="I4" s="21"/>
      <c r="J4" s="21"/>
      <c r="K4" s="21"/>
      <c r="L4" s="21"/>
      <c r="M4" s="21"/>
      <c r="N4" s="21"/>
      <c r="O4" s="21"/>
      <c r="P4" s="21"/>
      <c r="Q4" s="21"/>
    </row>
    <row r="5" spans="1:17" ht="14.5" customHeight="1" x14ac:dyDescent="0.35">
      <c r="A5" s="21"/>
      <c r="B5" s="21"/>
      <c r="C5" s="64"/>
      <c r="D5" s="64"/>
      <c r="E5" s="64"/>
      <c r="F5" s="64"/>
      <c r="G5" s="64"/>
      <c r="H5" s="21"/>
      <c r="I5" s="21"/>
      <c r="J5" s="21"/>
      <c r="K5" s="21"/>
      <c r="L5" s="21"/>
      <c r="M5" s="21"/>
      <c r="N5" s="21"/>
      <c r="O5" s="21"/>
      <c r="P5" s="21"/>
      <c r="Q5" s="21"/>
    </row>
    <row r="6" spans="1:17" ht="14.5" customHeight="1" x14ac:dyDescent="0.35">
      <c r="A6" s="21"/>
      <c r="B6" s="21"/>
      <c r="C6" s="64"/>
      <c r="D6" s="64"/>
      <c r="E6" s="64"/>
      <c r="F6" s="64"/>
      <c r="G6" s="64"/>
      <c r="H6" s="21"/>
      <c r="I6" s="21"/>
      <c r="J6" s="21"/>
      <c r="K6" s="21"/>
      <c r="L6" s="21"/>
      <c r="M6" s="21"/>
      <c r="N6" s="21"/>
      <c r="O6" s="21"/>
      <c r="P6" s="21"/>
      <c r="Q6" s="21"/>
    </row>
    <row r="7" spans="1:17" ht="14.5" customHeight="1" x14ac:dyDescent="0.35">
      <c r="A7" s="21"/>
      <c r="B7" s="21"/>
      <c r="C7" s="64"/>
      <c r="D7" s="64"/>
      <c r="E7" s="64"/>
      <c r="F7" s="64"/>
      <c r="G7" s="64"/>
      <c r="H7" s="21"/>
      <c r="I7" s="21"/>
      <c r="J7" s="21"/>
      <c r="K7" s="21"/>
      <c r="L7" s="21"/>
      <c r="M7" s="21"/>
      <c r="N7" s="21"/>
      <c r="O7" s="21"/>
      <c r="P7" s="21"/>
      <c r="Q7" s="21"/>
    </row>
    <row r="8" spans="1:17" ht="14.5" customHeight="1" x14ac:dyDescent="0.35">
      <c r="A8" s="21"/>
      <c r="B8" s="21"/>
      <c r="C8" s="64"/>
      <c r="D8" s="64"/>
      <c r="E8" s="64"/>
      <c r="F8" s="64"/>
      <c r="G8" s="64"/>
      <c r="H8" s="21"/>
      <c r="I8" s="21"/>
      <c r="J8" s="21"/>
      <c r="K8" s="21"/>
      <c r="L8" s="21"/>
      <c r="M8" s="21"/>
      <c r="N8" s="21"/>
      <c r="O8" s="21"/>
      <c r="P8" s="21"/>
      <c r="Q8" s="21"/>
    </row>
    <row r="9" spans="1:17" ht="14.5" customHeight="1" x14ac:dyDescent="0.35">
      <c r="A9" s="21"/>
      <c r="B9" s="21"/>
      <c r="C9" s="64"/>
      <c r="D9" s="64"/>
      <c r="E9" s="64"/>
      <c r="F9" s="64"/>
      <c r="G9" s="64"/>
      <c r="H9" s="21"/>
      <c r="I9" s="21"/>
      <c r="J9" s="21"/>
      <c r="K9" s="21"/>
      <c r="L9" s="21"/>
      <c r="M9" s="21"/>
      <c r="N9" s="21"/>
      <c r="O9" s="21"/>
      <c r="P9" s="21"/>
      <c r="Q9" s="21"/>
    </row>
    <row r="10" spans="1:17" ht="14.5" customHeight="1" x14ac:dyDescent="0.35">
      <c r="A10" s="21"/>
      <c r="B10" s="21"/>
      <c r="C10" s="64"/>
      <c r="D10" s="64"/>
      <c r="E10" s="64"/>
      <c r="F10" s="64"/>
      <c r="G10" s="64"/>
      <c r="H10" s="21"/>
      <c r="I10" s="21"/>
      <c r="J10" s="21"/>
      <c r="K10" s="21"/>
      <c r="L10" s="21"/>
      <c r="M10" s="21"/>
      <c r="N10" s="21"/>
      <c r="O10" s="21"/>
      <c r="P10" s="21"/>
      <c r="Q10" s="21"/>
    </row>
    <row r="11" spans="1:17" ht="14.5" customHeight="1" x14ac:dyDescent="0.35">
      <c r="A11" s="21"/>
      <c r="B11" s="21"/>
      <c r="C11" s="64"/>
      <c r="D11" s="64"/>
      <c r="E11" s="64"/>
      <c r="F11" s="64"/>
      <c r="G11" s="64"/>
      <c r="H11" s="21"/>
      <c r="I11" s="21"/>
      <c r="J11" s="21"/>
      <c r="K11" s="21"/>
      <c r="L11" s="21"/>
      <c r="M11" s="21"/>
      <c r="N11" s="21"/>
      <c r="O11" s="21"/>
      <c r="P11" s="21"/>
      <c r="Q11" s="21"/>
    </row>
    <row r="12" spans="1:17" ht="14.5" customHeight="1" x14ac:dyDescent="0.35">
      <c r="A12" s="21"/>
      <c r="B12" s="21"/>
      <c r="C12" s="64"/>
      <c r="D12" s="64"/>
      <c r="E12" s="64"/>
      <c r="F12" s="64"/>
      <c r="G12" s="64"/>
      <c r="H12" s="21"/>
      <c r="I12" s="21"/>
      <c r="J12" s="21"/>
      <c r="K12" s="21"/>
      <c r="L12" s="21"/>
      <c r="M12" s="21"/>
      <c r="N12" s="21"/>
      <c r="O12" s="21"/>
      <c r="P12" s="21"/>
      <c r="Q12" s="21"/>
    </row>
    <row r="13" spans="1:17" ht="14.5" customHeight="1" x14ac:dyDescent="0.35">
      <c r="A13" s="21"/>
      <c r="B13" s="21"/>
      <c r="C13" s="64"/>
      <c r="D13" s="64"/>
      <c r="E13" s="64"/>
      <c r="F13" s="64"/>
      <c r="G13" s="64"/>
      <c r="H13" s="21"/>
      <c r="I13" s="21"/>
      <c r="J13" s="21"/>
      <c r="K13" s="21"/>
      <c r="L13" s="21"/>
      <c r="M13" s="21"/>
      <c r="N13" s="21"/>
      <c r="O13" s="21"/>
      <c r="P13" s="21"/>
      <c r="Q13" s="21"/>
    </row>
    <row r="14" spans="1:17" ht="14.5" customHeight="1" x14ac:dyDescent="0.35">
      <c r="A14" s="21"/>
      <c r="B14" s="21"/>
      <c r="C14" s="64"/>
      <c r="D14" s="64"/>
      <c r="E14" s="64"/>
      <c r="F14" s="64"/>
      <c r="G14" s="64"/>
      <c r="H14" s="21"/>
      <c r="I14" s="21"/>
      <c r="J14" s="21"/>
      <c r="K14" s="21"/>
      <c r="L14" s="21"/>
      <c r="M14" s="21"/>
      <c r="N14" s="21"/>
      <c r="O14" s="21"/>
      <c r="P14" s="21"/>
      <c r="Q14" s="21"/>
    </row>
    <row r="15" spans="1:17" x14ac:dyDescent="0.35">
      <c r="A15" s="21"/>
      <c r="B15" s="21"/>
      <c r="C15" s="64"/>
      <c r="D15" s="64"/>
      <c r="E15" s="64"/>
      <c r="F15" s="64"/>
      <c r="G15" s="64"/>
      <c r="H15" s="21"/>
      <c r="I15" s="21"/>
      <c r="J15" s="21"/>
      <c r="K15" s="21"/>
      <c r="L15" s="21"/>
      <c r="M15" s="21"/>
      <c r="N15" s="21"/>
      <c r="O15" s="21"/>
      <c r="P15" s="21"/>
      <c r="Q15" s="21"/>
    </row>
    <row r="16" spans="1:17" x14ac:dyDescent="0.35">
      <c r="A16" s="21"/>
      <c r="B16" s="21"/>
      <c r="C16" s="21"/>
      <c r="D16" s="21"/>
      <c r="E16" s="21"/>
      <c r="F16" s="21"/>
      <c r="G16" s="21"/>
      <c r="H16" s="21"/>
      <c r="I16" s="21"/>
      <c r="J16" s="21"/>
      <c r="K16" s="21"/>
      <c r="L16" s="21"/>
      <c r="M16" s="21"/>
      <c r="N16" s="21"/>
      <c r="O16" s="21"/>
      <c r="P16" s="21"/>
      <c r="Q16" s="21"/>
    </row>
    <row r="17" spans="1:17" x14ac:dyDescent="0.35">
      <c r="A17" s="21"/>
      <c r="B17" s="21"/>
      <c r="C17" s="21"/>
      <c r="D17" s="21"/>
      <c r="E17" s="21"/>
      <c r="F17" s="21"/>
      <c r="G17" s="21"/>
      <c r="H17" s="21"/>
      <c r="I17" s="21"/>
      <c r="J17" s="21"/>
      <c r="K17" s="21"/>
      <c r="L17" s="21"/>
      <c r="M17" s="21"/>
      <c r="N17" s="21"/>
      <c r="O17" s="21"/>
      <c r="P17" s="21"/>
      <c r="Q17" s="21"/>
    </row>
    <row r="18" spans="1:17" x14ac:dyDescent="0.35">
      <c r="A18" s="21"/>
      <c r="B18" s="21"/>
      <c r="C18" s="21"/>
      <c r="D18" s="21"/>
      <c r="E18" s="21"/>
      <c r="F18" s="21"/>
      <c r="G18" s="21"/>
      <c r="H18" s="21"/>
      <c r="I18" s="21"/>
      <c r="J18" s="21"/>
      <c r="K18" s="21"/>
      <c r="L18" s="21"/>
      <c r="M18" s="21"/>
      <c r="N18" s="21"/>
      <c r="O18" s="21"/>
      <c r="P18" s="21"/>
      <c r="Q18" s="21"/>
    </row>
    <row r="19" spans="1:17" x14ac:dyDescent="0.35">
      <c r="A19" s="21"/>
      <c r="B19" s="21"/>
      <c r="C19" s="21"/>
      <c r="D19" s="21"/>
      <c r="E19" s="21"/>
      <c r="F19" s="21"/>
      <c r="G19" s="21"/>
      <c r="H19" s="21"/>
      <c r="I19" s="21"/>
      <c r="J19" s="21"/>
      <c r="K19" s="21"/>
      <c r="L19" s="21"/>
      <c r="M19" s="21"/>
      <c r="N19" s="21"/>
      <c r="O19" s="21"/>
      <c r="P19" s="21"/>
      <c r="Q19" s="21"/>
    </row>
    <row r="20" spans="1:17" x14ac:dyDescent="0.35">
      <c r="A20" s="21"/>
      <c r="B20" s="21"/>
      <c r="C20" s="21"/>
      <c r="D20" s="21"/>
      <c r="E20" s="21"/>
      <c r="F20" s="21"/>
      <c r="G20" s="21"/>
      <c r="H20" s="21"/>
      <c r="I20" s="21"/>
      <c r="J20" s="21"/>
      <c r="K20" s="21"/>
      <c r="L20" s="21"/>
      <c r="M20" s="21"/>
      <c r="N20" s="21"/>
      <c r="O20" s="21"/>
      <c r="P20" s="21"/>
      <c r="Q20" s="21"/>
    </row>
    <row r="21" spans="1:17" x14ac:dyDescent="0.35">
      <c r="A21" s="21"/>
      <c r="B21" s="21"/>
      <c r="C21" s="21"/>
      <c r="D21" s="21"/>
      <c r="E21" s="21"/>
      <c r="F21" s="21"/>
      <c r="G21" s="21"/>
      <c r="H21" s="21"/>
      <c r="I21" s="21"/>
      <c r="J21" s="21"/>
      <c r="K21" s="21"/>
      <c r="L21" s="21"/>
      <c r="M21" s="21"/>
      <c r="N21" s="21"/>
      <c r="O21" s="21"/>
      <c r="P21" s="21"/>
      <c r="Q21" s="21"/>
    </row>
    <row r="22" spans="1:17" x14ac:dyDescent="0.35">
      <c r="A22" s="21"/>
      <c r="B22" s="21"/>
      <c r="C22" s="21"/>
      <c r="D22" s="21"/>
      <c r="E22" s="21"/>
      <c r="F22" s="21"/>
      <c r="G22" s="21"/>
      <c r="H22" s="21"/>
      <c r="I22" s="21"/>
      <c r="J22" s="21"/>
      <c r="K22" s="21"/>
      <c r="L22" s="21"/>
      <c r="M22" s="21"/>
      <c r="N22" s="21"/>
      <c r="O22" s="21"/>
      <c r="P22" s="21"/>
      <c r="Q22" s="21"/>
    </row>
    <row r="23" spans="1:17" x14ac:dyDescent="0.35">
      <c r="A23" s="21"/>
      <c r="B23" s="21"/>
      <c r="C23" s="21"/>
      <c r="D23" s="21"/>
      <c r="E23" s="21"/>
      <c r="F23" s="21"/>
      <c r="G23" s="21"/>
      <c r="H23" s="21"/>
      <c r="I23" s="21"/>
      <c r="J23" s="21"/>
      <c r="K23" s="21"/>
      <c r="L23" s="21"/>
      <c r="M23" s="21"/>
      <c r="N23" s="21"/>
      <c r="O23" s="21"/>
      <c r="P23" s="21"/>
      <c r="Q23" s="21"/>
    </row>
    <row r="24" spans="1:17" x14ac:dyDescent="0.35">
      <c r="A24" s="21"/>
      <c r="B24" s="21"/>
      <c r="C24" s="21"/>
      <c r="D24" s="21"/>
      <c r="E24" s="21"/>
      <c r="F24" s="21"/>
      <c r="G24" s="21"/>
      <c r="H24" s="21"/>
      <c r="I24" s="21"/>
      <c r="J24" s="21"/>
      <c r="K24" s="21"/>
      <c r="L24" s="21"/>
      <c r="M24" s="21"/>
      <c r="N24" s="21"/>
      <c r="O24" s="21"/>
      <c r="P24" s="21"/>
      <c r="Q24" s="21"/>
    </row>
    <row r="25" spans="1:17" x14ac:dyDescent="0.35">
      <c r="A25" s="21"/>
      <c r="B25" s="21"/>
      <c r="C25" s="21"/>
      <c r="D25" s="21"/>
      <c r="E25" s="21"/>
      <c r="F25" s="21"/>
      <c r="G25" s="21"/>
      <c r="H25" s="21"/>
      <c r="I25" s="21"/>
      <c r="J25" s="21"/>
      <c r="K25" s="21"/>
      <c r="L25" s="21"/>
      <c r="M25" s="21"/>
      <c r="N25" s="21"/>
      <c r="O25" s="21"/>
      <c r="P25" s="21"/>
      <c r="Q25" s="21"/>
    </row>
    <row r="26" spans="1:17" x14ac:dyDescent="0.35">
      <c r="A26" s="21"/>
      <c r="B26" s="21"/>
      <c r="C26" s="21"/>
      <c r="D26" s="21"/>
      <c r="E26" s="21"/>
      <c r="F26" s="21"/>
      <c r="G26" s="21"/>
      <c r="H26" s="21"/>
      <c r="I26" s="21"/>
      <c r="J26" s="21"/>
      <c r="K26" s="21"/>
      <c r="L26" s="21"/>
      <c r="M26" s="21"/>
      <c r="N26" s="21"/>
      <c r="O26" s="21"/>
      <c r="P26" s="21"/>
      <c r="Q26" s="21"/>
    </row>
    <row r="27" spans="1:17" x14ac:dyDescent="0.35">
      <c r="A27" s="21"/>
      <c r="B27" s="21"/>
      <c r="C27" s="21"/>
      <c r="D27" s="21"/>
      <c r="E27" s="21"/>
      <c r="F27" s="21"/>
      <c r="G27" s="21"/>
      <c r="H27" s="21"/>
      <c r="I27" s="21"/>
      <c r="J27" s="21"/>
      <c r="K27" s="21"/>
      <c r="L27" s="21"/>
      <c r="M27" s="21"/>
      <c r="N27" s="21"/>
      <c r="O27" s="21"/>
      <c r="P27" s="21"/>
      <c r="Q27" s="21"/>
    </row>
    <row r="28" spans="1:17" x14ac:dyDescent="0.35">
      <c r="A28" s="21"/>
      <c r="B28" s="21"/>
      <c r="C28" s="21"/>
      <c r="D28" s="21"/>
      <c r="E28" s="21"/>
      <c r="F28" s="21"/>
      <c r="G28" s="21"/>
      <c r="H28" s="21"/>
      <c r="I28" s="21"/>
      <c r="J28" s="21"/>
      <c r="K28" s="21"/>
      <c r="L28" s="21"/>
      <c r="M28" s="21"/>
      <c r="N28" s="21"/>
      <c r="O28" s="21"/>
      <c r="P28" s="21"/>
      <c r="Q28" s="21"/>
    </row>
    <row r="29" spans="1:17" x14ac:dyDescent="0.35">
      <c r="A29" s="21"/>
      <c r="B29" s="21"/>
      <c r="C29" s="21"/>
      <c r="D29" s="21"/>
      <c r="E29" s="21"/>
      <c r="F29" s="21"/>
      <c r="G29" s="21"/>
      <c r="H29" s="21"/>
      <c r="I29" s="21"/>
      <c r="J29" s="21"/>
      <c r="K29" s="21"/>
      <c r="L29" s="21"/>
      <c r="M29" s="21"/>
      <c r="N29" s="21"/>
      <c r="O29" s="21"/>
      <c r="P29" s="21"/>
      <c r="Q29" s="21"/>
    </row>
    <row r="30" spans="1:17" x14ac:dyDescent="0.35">
      <c r="A30" s="21"/>
      <c r="B30" s="21"/>
      <c r="C30" s="21"/>
      <c r="D30" s="21"/>
      <c r="E30" s="21"/>
      <c r="F30" s="21"/>
      <c r="G30" s="21"/>
      <c r="H30" s="21"/>
      <c r="I30" s="21"/>
      <c r="J30" s="21"/>
      <c r="K30" s="21"/>
      <c r="L30" s="21"/>
      <c r="M30" s="21"/>
      <c r="N30" s="21"/>
      <c r="O30" s="21"/>
      <c r="P30" s="21"/>
      <c r="Q30" s="21"/>
    </row>
    <row r="31" spans="1:17" x14ac:dyDescent="0.35">
      <c r="A31" s="21"/>
      <c r="B31" s="21"/>
      <c r="C31" s="21"/>
      <c r="D31" s="21"/>
      <c r="E31" s="21"/>
      <c r="F31" s="21"/>
      <c r="G31" s="21"/>
      <c r="H31" s="21"/>
      <c r="I31" s="21"/>
      <c r="J31" s="21"/>
      <c r="K31" s="21"/>
      <c r="L31" s="21"/>
      <c r="M31" s="21"/>
      <c r="N31" s="21"/>
      <c r="O31" s="21"/>
      <c r="P31" s="21"/>
      <c r="Q31" s="21"/>
    </row>
    <row r="32" spans="1:17" x14ac:dyDescent="0.35">
      <c r="A32" s="21"/>
      <c r="B32" s="21"/>
      <c r="C32" s="21"/>
      <c r="D32" s="21"/>
      <c r="E32" s="21"/>
      <c r="F32" s="21"/>
      <c r="G32" s="21"/>
      <c r="H32" s="21"/>
      <c r="I32" s="21"/>
      <c r="J32" s="21"/>
      <c r="K32" s="21"/>
      <c r="L32" s="21"/>
      <c r="M32" s="21"/>
      <c r="N32" s="21"/>
      <c r="O32" s="21"/>
      <c r="P32" s="21"/>
      <c r="Q32" s="21"/>
    </row>
    <row r="33" spans="1:17" x14ac:dyDescent="0.35">
      <c r="A33" s="21"/>
      <c r="B33" s="21"/>
      <c r="C33" s="21"/>
      <c r="D33" s="21"/>
      <c r="E33" s="21"/>
      <c r="F33" s="21"/>
      <c r="G33" s="21"/>
      <c r="H33" s="21"/>
      <c r="I33" s="21"/>
      <c r="J33" s="21"/>
      <c r="K33" s="21"/>
      <c r="L33" s="21"/>
      <c r="M33" s="21"/>
      <c r="N33" s="21"/>
      <c r="O33" s="21"/>
      <c r="P33" s="21"/>
      <c r="Q33" s="21"/>
    </row>
    <row r="34" spans="1:17" x14ac:dyDescent="0.35">
      <c r="A34" s="21"/>
      <c r="B34" s="21"/>
      <c r="C34" s="21"/>
      <c r="D34" s="21"/>
      <c r="E34" s="21"/>
      <c r="F34" s="21"/>
      <c r="G34" s="21"/>
      <c r="H34" s="21"/>
      <c r="I34" s="21"/>
      <c r="J34" s="21"/>
      <c r="K34" s="21"/>
      <c r="L34" s="21"/>
      <c r="M34" s="21"/>
      <c r="N34" s="21"/>
      <c r="O34" s="21"/>
      <c r="P34" s="21"/>
      <c r="Q34" s="21"/>
    </row>
    <row r="35" spans="1:17" x14ac:dyDescent="0.35">
      <c r="A35" s="21"/>
      <c r="B35" s="21"/>
      <c r="C35" s="21"/>
      <c r="D35" s="21"/>
      <c r="E35" s="21"/>
      <c r="F35" s="21"/>
      <c r="G35" s="21"/>
      <c r="H35" s="21"/>
      <c r="I35" s="21"/>
      <c r="J35" s="21"/>
      <c r="K35" s="21"/>
      <c r="L35" s="21"/>
      <c r="M35" s="21"/>
      <c r="N35" s="21"/>
      <c r="O35" s="21"/>
      <c r="P35" s="21"/>
      <c r="Q35" s="21"/>
    </row>
    <row r="36" spans="1:17" x14ac:dyDescent="0.35">
      <c r="A36" s="21"/>
      <c r="B36" s="21"/>
      <c r="C36" s="21"/>
      <c r="D36" s="21"/>
      <c r="E36" s="21"/>
      <c r="F36" s="21"/>
      <c r="G36" s="21"/>
      <c r="H36" s="21"/>
      <c r="I36" s="21"/>
      <c r="J36" s="21"/>
      <c r="K36" s="21"/>
      <c r="L36" s="21"/>
      <c r="M36" s="21"/>
      <c r="N36" s="21"/>
      <c r="O36" s="21"/>
      <c r="P36" s="21"/>
      <c r="Q36" s="21"/>
    </row>
    <row r="37" spans="1:17" x14ac:dyDescent="0.35">
      <c r="A37" s="21"/>
      <c r="B37" s="21"/>
      <c r="C37" s="21"/>
      <c r="D37" s="21"/>
      <c r="E37" s="21"/>
      <c r="F37" s="21"/>
      <c r="G37" s="21"/>
      <c r="H37" s="21"/>
      <c r="I37" s="21"/>
      <c r="J37" s="21"/>
      <c r="K37" s="21"/>
      <c r="L37" s="21"/>
      <c r="M37" s="21"/>
      <c r="N37" s="21"/>
      <c r="O37" s="21"/>
      <c r="P37" s="21"/>
      <c r="Q37" s="21"/>
    </row>
    <row r="38" spans="1:17" x14ac:dyDescent="0.35">
      <c r="A38" s="21"/>
      <c r="B38" s="21"/>
      <c r="C38" s="21"/>
      <c r="D38" s="21"/>
      <c r="E38" s="21"/>
      <c r="F38" s="21"/>
      <c r="G38" s="21"/>
      <c r="H38" s="21"/>
      <c r="I38" s="21"/>
      <c r="J38" s="21"/>
      <c r="K38" s="21"/>
      <c r="L38" s="21"/>
      <c r="M38" s="21"/>
      <c r="N38" s="21"/>
      <c r="O38" s="21"/>
      <c r="P38" s="21"/>
      <c r="Q38" s="21"/>
    </row>
    <row r="39" spans="1:17" x14ac:dyDescent="0.35">
      <c r="A39" s="21"/>
      <c r="B39" s="21"/>
      <c r="C39" s="21"/>
      <c r="D39" s="21"/>
      <c r="E39" s="21"/>
      <c r="F39" s="21"/>
      <c r="G39" s="21"/>
      <c r="H39" s="21"/>
      <c r="I39" s="21"/>
      <c r="J39" s="21"/>
      <c r="K39" s="21"/>
      <c r="L39" s="21"/>
      <c r="M39" s="21"/>
      <c r="N39" s="21"/>
      <c r="O39" s="21"/>
      <c r="P39" s="21"/>
      <c r="Q39" s="21"/>
    </row>
    <row r="40" spans="1:17" x14ac:dyDescent="0.35">
      <c r="A40" s="21"/>
      <c r="B40" s="21"/>
      <c r="C40" s="21"/>
      <c r="D40" s="21"/>
      <c r="E40" s="21"/>
      <c r="F40" s="21"/>
      <c r="G40" s="21"/>
      <c r="H40" s="21"/>
      <c r="I40" s="21"/>
      <c r="J40" s="21"/>
      <c r="K40" s="21"/>
      <c r="L40" s="21"/>
      <c r="M40" s="21"/>
      <c r="N40" s="21"/>
      <c r="O40" s="21"/>
      <c r="P40" s="21"/>
      <c r="Q40" s="21"/>
    </row>
    <row r="41" spans="1:17" x14ac:dyDescent="0.35">
      <c r="A41" s="21"/>
      <c r="B41" s="21"/>
      <c r="C41" s="21"/>
      <c r="D41" s="21"/>
      <c r="E41" s="21"/>
      <c r="F41" s="21"/>
      <c r="G41" s="21"/>
      <c r="H41" s="21"/>
      <c r="I41" s="21"/>
      <c r="J41" s="21"/>
      <c r="K41" s="21"/>
      <c r="L41" s="21"/>
      <c r="M41" s="21"/>
      <c r="N41" s="21"/>
      <c r="O41" s="21"/>
      <c r="P41" s="21"/>
      <c r="Q41" s="21"/>
    </row>
    <row r="42" spans="1:17" x14ac:dyDescent="0.35">
      <c r="A42" s="21"/>
      <c r="B42" s="21"/>
      <c r="C42" s="21"/>
      <c r="D42" s="21"/>
      <c r="E42" s="21"/>
      <c r="F42" s="21"/>
      <c r="G42" s="21"/>
      <c r="H42" s="21"/>
      <c r="I42" s="21"/>
      <c r="J42" s="21"/>
      <c r="K42" s="21"/>
      <c r="L42" s="21"/>
      <c r="M42" s="21"/>
      <c r="N42" s="21"/>
      <c r="O42" s="21"/>
      <c r="P42" s="21"/>
      <c r="Q42" s="21"/>
    </row>
    <row r="43" spans="1:17" x14ac:dyDescent="0.35">
      <c r="A43" s="21"/>
      <c r="B43" s="21"/>
      <c r="C43" s="21"/>
      <c r="D43" s="21"/>
      <c r="E43" s="21"/>
      <c r="F43" s="21"/>
      <c r="G43" s="21"/>
      <c r="H43" s="21"/>
      <c r="I43" s="21"/>
      <c r="J43" s="21"/>
      <c r="K43" s="21"/>
      <c r="L43" s="21"/>
      <c r="M43" s="21"/>
      <c r="N43" s="21"/>
      <c r="O43" s="21"/>
      <c r="P43" s="21"/>
      <c r="Q43" s="21"/>
    </row>
    <row r="44" spans="1:17" x14ac:dyDescent="0.35">
      <c r="A44" s="21"/>
      <c r="B44" s="21"/>
      <c r="C44" s="21"/>
      <c r="D44" s="21"/>
      <c r="E44" s="21"/>
      <c r="F44" s="21"/>
      <c r="G44" s="21"/>
      <c r="H44" s="21"/>
      <c r="I44" s="21"/>
      <c r="J44" s="21"/>
      <c r="K44" s="21"/>
      <c r="L44" s="21"/>
      <c r="M44" s="21"/>
      <c r="N44" s="21"/>
      <c r="O44" s="21"/>
      <c r="P44" s="21"/>
      <c r="Q44" s="21"/>
    </row>
    <row r="45" spans="1:17" x14ac:dyDescent="0.35">
      <c r="A45" s="21"/>
      <c r="B45" s="21"/>
      <c r="C45" s="21"/>
      <c r="D45" s="21"/>
      <c r="E45" s="21"/>
      <c r="F45" s="21"/>
      <c r="G45" s="21"/>
      <c r="H45" s="21"/>
      <c r="I45" s="21"/>
      <c r="J45" s="21"/>
      <c r="K45" s="21"/>
      <c r="L45" s="21"/>
      <c r="M45" s="21"/>
      <c r="N45" s="21"/>
      <c r="O45" s="21"/>
      <c r="P45" s="21"/>
      <c r="Q45" s="21"/>
    </row>
    <row r="46" spans="1:17" x14ac:dyDescent="0.35">
      <c r="A46" s="21"/>
      <c r="B46" s="21"/>
      <c r="C46" s="21"/>
      <c r="D46" s="21"/>
      <c r="E46" s="21"/>
      <c r="F46" s="21"/>
      <c r="G46" s="21"/>
      <c r="H46" s="21"/>
      <c r="I46" s="21"/>
      <c r="J46" s="21"/>
      <c r="K46" s="21"/>
      <c r="L46" s="21"/>
      <c r="M46" s="21"/>
      <c r="N46" s="21"/>
      <c r="O46" s="21"/>
      <c r="P46" s="21"/>
      <c r="Q46" s="21"/>
    </row>
    <row r="47" spans="1:17" x14ac:dyDescent="0.35">
      <c r="A47" s="21"/>
      <c r="B47" s="21"/>
      <c r="C47" s="21"/>
      <c r="D47" s="21"/>
      <c r="E47" s="21"/>
      <c r="F47" s="21"/>
      <c r="G47" s="21"/>
      <c r="H47" s="21"/>
      <c r="I47" s="21"/>
      <c r="J47" s="21"/>
      <c r="K47" s="21"/>
      <c r="L47" s="21"/>
      <c r="M47" s="21"/>
      <c r="N47" s="21"/>
      <c r="O47" s="21"/>
      <c r="P47" s="21"/>
      <c r="Q47" s="21"/>
    </row>
    <row r="48" spans="1:17" x14ac:dyDescent="0.35">
      <c r="A48" s="21"/>
      <c r="B48" s="21"/>
      <c r="C48" s="21"/>
      <c r="D48" s="21"/>
      <c r="E48" s="21"/>
      <c r="F48" s="21"/>
      <c r="G48" s="21"/>
      <c r="H48" s="21"/>
      <c r="I48" s="21"/>
      <c r="J48" s="21"/>
      <c r="K48" s="21"/>
      <c r="L48" s="21"/>
      <c r="M48" s="21"/>
      <c r="N48" s="21"/>
      <c r="O48" s="21"/>
      <c r="P48" s="21"/>
      <c r="Q48" s="21"/>
    </row>
    <row r="49" spans="1:17" x14ac:dyDescent="0.35">
      <c r="A49" s="21"/>
      <c r="B49" s="21"/>
      <c r="C49" s="21"/>
      <c r="D49" s="21"/>
      <c r="E49" s="21"/>
      <c r="F49" s="21"/>
      <c r="G49" s="21"/>
      <c r="H49" s="21"/>
      <c r="I49" s="21"/>
      <c r="J49" s="21"/>
      <c r="K49" s="21"/>
      <c r="L49" s="21"/>
      <c r="M49" s="21"/>
      <c r="N49" s="21"/>
      <c r="O49" s="21"/>
      <c r="P49" s="21"/>
      <c r="Q49" s="21"/>
    </row>
  </sheetData>
  <mergeCells count="1">
    <mergeCell ref="C3:G1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841CA-8800-4BCC-8523-D89B8C7EAF8D}">
  <dimension ref="A1:U21"/>
  <sheetViews>
    <sheetView showGridLines="0" topLeftCell="F70" zoomScaleNormal="100" workbookViewId="0">
      <selection activeCell="Q19" sqref="Q19"/>
    </sheetView>
  </sheetViews>
  <sheetFormatPr defaultRowHeight="14.5" x14ac:dyDescent="0.35"/>
  <cols>
    <col min="1" max="1" width="21.453125" customWidth="1"/>
    <col min="2" max="2" width="12.81640625" customWidth="1"/>
    <col min="3" max="3" width="14.6328125" customWidth="1"/>
    <col min="4" max="4" width="17.1796875" customWidth="1"/>
    <col min="5" max="5" width="14.36328125" customWidth="1"/>
    <col min="6" max="6" width="17.1796875" customWidth="1"/>
    <col min="8" max="8" width="20.7265625" customWidth="1"/>
    <col min="9" max="9" width="16.7265625" customWidth="1"/>
    <col min="10" max="10" width="15.453125" customWidth="1"/>
    <col min="11" max="11" width="14.7265625" customWidth="1"/>
    <col min="12" max="12" width="13.26953125" customWidth="1"/>
  </cols>
  <sheetData>
    <row r="1" spans="1:21" ht="17.5" x14ac:dyDescent="0.35">
      <c r="A1" s="67" t="s">
        <v>54</v>
      </c>
      <c r="B1" s="68"/>
      <c r="C1" s="68"/>
      <c r="D1" s="68"/>
      <c r="E1" s="68"/>
      <c r="F1" s="68"/>
      <c r="G1" s="68"/>
      <c r="H1" s="68"/>
      <c r="I1" s="68"/>
      <c r="J1" s="68"/>
      <c r="K1" s="68"/>
      <c r="L1" s="68"/>
    </row>
    <row r="2" spans="1:21" ht="15.5" x14ac:dyDescent="0.35">
      <c r="A2" s="2"/>
      <c r="B2" s="2"/>
      <c r="C2" s="2"/>
      <c r="D2" s="2"/>
      <c r="E2" s="2"/>
      <c r="F2" s="2"/>
      <c r="G2" s="2"/>
      <c r="H2" s="2"/>
      <c r="I2" s="2"/>
      <c r="J2" s="2"/>
      <c r="K2" s="2"/>
      <c r="L2" s="2"/>
    </row>
    <row r="3" spans="1:21" ht="15.5" x14ac:dyDescent="0.35">
      <c r="A3" s="40" t="s">
        <v>30</v>
      </c>
      <c r="B3" s="40" t="s">
        <v>1</v>
      </c>
      <c r="C3" s="40" t="s">
        <v>61</v>
      </c>
      <c r="D3" s="40" t="s">
        <v>3</v>
      </c>
      <c r="E3" s="40" t="s">
        <v>4</v>
      </c>
      <c r="F3" s="40" t="s">
        <v>14</v>
      </c>
      <c r="G3" s="2"/>
      <c r="H3" s="74" t="s">
        <v>15</v>
      </c>
      <c r="I3" s="74"/>
      <c r="J3" s="9" t="s">
        <v>32</v>
      </c>
      <c r="K3" s="2"/>
      <c r="L3" s="2"/>
      <c r="Q3" s="78" t="s">
        <v>63</v>
      </c>
      <c r="R3" s="78"/>
      <c r="S3" s="78"/>
    </row>
    <row r="4" spans="1:21" ht="15.5" x14ac:dyDescent="0.35">
      <c r="A4" s="36" t="s">
        <v>5</v>
      </c>
      <c r="B4" s="41">
        <v>4398</v>
      </c>
      <c r="C4" s="41">
        <v>1096</v>
      </c>
      <c r="D4" s="41">
        <v>0</v>
      </c>
      <c r="E4" s="42">
        <v>1490</v>
      </c>
      <c r="F4" s="39">
        <f>Table121422[[#This Row],[Premium]]+Table121422[[#This Row],[Biosolar]]+Table121422[[#This Row],[Minyak Tanah]]+Table121422[[#This Row],[LPG]]</f>
        <v>6984</v>
      </c>
      <c r="G4" s="2"/>
      <c r="H4" s="2"/>
      <c r="I4" s="2"/>
      <c r="J4" s="2"/>
      <c r="K4" s="2"/>
      <c r="L4" s="2"/>
      <c r="P4" s="9"/>
      <c r="Q4" s="9"/>
      <c r="R4" s="9"/>
      <c r="S4" s="9"/>
      <c r="T4" s="9"/>
    </row>
    <row r="5" spans="1:21" ht="15.5" x14ac:dyDescent="0.35">
      <c r="A5" s="7" t="s">
        <v>6</v>
      </c>
      <c r="B5" s="18">
        <v>36520</v>
      </c>
      <c r="C5" s="18">
        <v>23336</v>
      </c>
      <c r="D5" s="18">
        <v>15</v>
      </c>
      <c r="E5" s="19">
        <v>8585</v>
      </c>
      <c r="F5" s="1">
        <f>Table121422[[#This Row],[Premium]]+Table121422[[#This Row],[Biosolar]]+Table121422[[#This Row],[Minyak Tanah]]+Table121422[[#This Row],[LPG]]</f>
        <v>68456</v>
      </c>
      <c r="G5" s="2"/>
      <c r="H5" s="69" t="s">
        <v>17</v>
      </c>
      <c r="I5" s="70" t="s">
        <v>0</v>
      </c>
      <c r="J5" s="70"/>
      <c r="K5" s="70"/>
      <c r="L5" s="70"/>
      <c r="R5" s="75" t="s">
        <v>33</v>
      </c>
      <c r="S5" s="75"/>
    </row>
    <row r="6" spans="1:21" ht="15.5" x14ac:dyDescent="0.35">
      <c r="A6" s="36" t="s">
        <v>7</v>
      </c>
      <c r="B6" s="41">
        <v>13966</v>
      </c>
      <c r="C6" s="41">
        <v>13304</v>
      </c>
      <c r="D6" s="41">
        <v>0</v>
      </c>
      <c r="E6" s="42">
        <v>7607</v>
      </c>
      <c r="F6" s="39">
        <f>Table121422[[#This Row],[Premium]]+Table121422[[#This Row],[Biosolar]]+Table121422[[#This Row],[Minyak Tanah]]+Table121422[[#This Row],[LPG]]</f>
        <v>34877</v>
      </c>
      <c r="G6" s="2"/>
      <c r="H6" s="69"/>
      <c r="I6" s="46" t="s">
        <v>1</v>
      </c>
      <c r="J6" s="46" t="s">
        <v>61</v>
      </c>
      <c r="K6" s="46" t="s">
        <v>3</v>
      </c>
      <c r="L6" s="46" t="s">
        <v>4</v>
      </c>
      <c r="R6" s="50" t="s">
        <v>20</v>
      </c>
      <c r="S6" s="50" t="s">
        <v>21</v>
      </c>
    </row>
    <row r="7" spans="1:21" ht="15.5" x14ac:dyDescent="0.35">
      <c r="A7" s="7" t="s">
        <v>8</v>
      </c>
      <c r="B7" s="18">
        <v>28455</v>
      </c>
      <c r="C7" s="18">
        <v>24880</v>
      </c>
      <c r="D7" s="18">
        <v>0</v>
      </c>
      <c r="E7" s="19">
        <v>7372</v>
      </c>
      <c r="F7" s="1">
        <f>Table121422[[#This Row],[Premium]]+Table121422[[#This Row],[Biosolar]]+Table121422[[#This Row],[Minyak Tanah]]+Table121422[[#This Row],[LPG]]</f>
        <v>60707</v>
      </c>
      <c r="G7" s="2"/>
      <c r="H7" s="43" t="s">
        <v>16</v>
      </c>
      <c r="I7" s="44">
        <f>AVERAGE(Table121422[Premium])</f>
        <v>35092.400000000001</v>
      </c>
      <c r="J7" s="44">
        <f>AVERAGE(Table121422[Biosolar])</f>
        <v>26293.9</v>
      </c>
      <c r="K7" s="45">
        <f>AVERAGE(Table121422[Minyak Tanah])</f>
        <v>1.5</v>
      </c>
      <c r="L7" s="44">
        <f>AVERAGE(Table121422[LPG])</f>
        <v>11690.9</v>
      </c>
      <c r="R7" s="50" t="s">
        <v>35</v>
      </c>
      <c r="S7" s="50" t="s">
        <v>34</v>
      </c>
    </row>
    <row r="8" spans="1:21" ht="15.5" x14ac:dyDescent="0.35">
      <c r="A8" s="36" t="s">
        <v>31</v>
      </c>
      <c r="B8" s="41">
        <v>25309</v>
      </c>
      <c r="C8" s="41">
        <v>27024</v>
      </c>
      <c r="D8" s="41">
        <v>0</v>
      </c>
      <c r="E8" s="42">
        <v>8341</v>
      </c>
      <c r="F8" s="39">
        <f>Table121422[[#This Row],[Premium]]+Table121422[[#This Row],[Biosolar]]+Table121422[[#This Row],[Minyak Tanah]]+Table121422[[#This Row],[LPG]]</f>
        <v>60674</v>
      </c>
      <c r="G8" s="2"/>
      <c r="H8" s="43" t="s">
        <v>18</v>
      </c>
      <c r="I8" s="44">
        <f>MEDIAN(Table121422[Premium])</f>
        <v>26882</v>
      </c>
      <c r="J8" s="44">
        <f>MEDIAN(Table121422[Biosolar])</f>
        <v>24108</v>
      </c>
      <c r="K8" s="44">
        <f>MEDIAN(Table121422[Minyak Tanah])</f>
        <v>0</v>
      </c>
      <c r="L8" s="44">
        <f>MEDIAN(Table121422[LPG])</f>
        <v>8320</v>
      </c>
    </row>
    <row r="9" spans="1:21" ht="15.5" x14ac:dyDescent="0.35">
      <c r="A9" s="7" t="s">
        <v>9</v>
      </c>
      <c r="B9" s="18">
        <v>22174</v>
      </c>
      <c r="C9" s="18">
        <v>20091</v>
      </c>
      <c r="D9" s="18">
        <v>0</v>
      </c>
      <c r="E9" s="19">
        <v>6408</v>
      </c>
      <c r="F9" s="1">
        <f>Table121422[[#This Row],[Premium]]+Table121422[[#This Row],[Biosolar]]+Table121422[[#This Row],[Minyak Tanah]]+Table121422[[#This Row],[LPG]]</f>
        <v>48673</v>
      </c>
      <c r="G9" s="2"/>
      <c r="H9" s="43" t="s">
        <v>19</v>
      </c>
      <c r="I9" s="44" t="e">
        <f>MODE(Table121422[Premium])</f>
        <v>#N/A</v>
      </c>
      <c r="J9" s="44" t="e">
        <f>MODE(Table121422[Biosolar])</f>
        <v>#N/A</v>
      </c>
      <c r="K9" s="44">
        <f>MODE(Table121422[Minyak Tanah])</f>
        <v>0</v>
      </c>
      <c r="L9" s="44" t="e">
        <f>MODE(Table121422[LPG])</f>
        <v>#N/A</v>
      </c>
      <c r="O9" s="51" t="s">
        <v>1</v>
      </c>
      <c r="P9" s="76">
        <v>26882</v>
      </c>
      <c r="Q9" s="77"/>
      <c r="S9" s="51" t="s">
        <v>61</v>
      </c>
      <c r="T9" s="71">
        <v>24108</v>
      </c>
      <c r="U9" s="72"/>
    </row>
    <row r="10" spans="1:21" ht="15.5" x14ac:dyDescent="0.35">
      <c r="A10" s="36" t="s">
        <v>10</v>
      </c>
      <c r="B10" s="41">
        <v>57629</v>
      </c>
      <c r="C10" s="41">
        <v>49452</v>
      </c>
      <c r="D10" s="41">
        <v>0</v>
      </c>
      <c r="E10" s="42">
        <v>15826</v>
      </c>
      <c r="F10" s="39">
        <f>Table121422[[#This Row],[Premium]]+Table121422[[#This Row],[Biosolar]]+Table121422[[#This Row],[Minyak Tanah]]+Table121422[[#This Row],[LPG]]</f>
        <v>122907</v>
      </c>
      <c r="G10" s="2"/>
      <c r="H10" s="43" t="s">
        <v>20</v>
      </c>
      <c r="I10" s="44">
        <f>_xlfn.QUARTILE.EXC(Table121422[Premium],1)</f>
        <v>20122</v>
      </c>
      <c r="J10" s="44">
        <f>_xlfn.QUARTILE.EXC(Table121422[Biosolar],1)</f>
        <v>13442</v>
      </c>
      <c r="K10" s="44">
        <f>_xlfn.QUARTILE.EXC(Table121422[Minyak Tanah],1)</f>
        <v>0</v>
      </c>
      <c r="L10" s="44">
        <f>_xlfn.QUARTILE.EXC(Table121422[LPG],1)</f>
        <v>7131</v>
      </c>
      <c r="P10" s="11">
        <v>20122</v>
      </c>
      <c r="Q10" s="11">
        <v>57829</v>
      </c>
      <c r="R10" s="5"/>
      <c r="T10" s="11">
        <v>13442</v>
      </c>
      <c r="U10" s="11">
        <v>57829</v>
      </c>
    </row>
    <row r="11" spans="1:21" ht="15.5" x14ac:dyDescent="0.35">
      <c r="A11" s="7" t="s">
        <v>11</v>
      </c>
      <c r="B11" s="18">
        <v>81463</v>
      </c>
      <c r="C11" s="18">
        <v>50053</v>
      </c>
      <c r="D11" s="18">
        <v>0</v>
      </c>
      <c r="E11" s="19">
        <v>23671</v>
      </c>
      <c r="F11" s="1">
        <f>Table121422[[#This Row],[Premium]]+Table121422[[#This Row],[Biosolar]]+Table121422[[#This Row],[Minyak Tanah]]+Table121422[[#This Row],[LPG]]</f>
        <v>155187</v>
      </c>
      <c r="G11" s="2"/>
      <c r="H11" s="43" t="s">
        <v>21</v>
      </c>
      <c r="I11" s="44">
        <f>_xlfn.QUARTILE.EXC(Table121422[Premium],3)</f>
        <v>57828.5</v>
      </c>
      <c r="J11" s="44">
        <f>_xlfn.QUARTILE.EXC(Table121422[Biosolar],3)</f>
        <v>42524.25</v>
      </c>
      <c r="K11" s="44">
        <f>_xlfn.QUARTILE.EXC(Table121422[Minyak Tanah],3)</f>
        <v>0</v>
      </c>
      <c r="L11" s="44">
        <f>_xlfn.QUARTILE.EXC(Table121422[LPG],3)</f>
        <v>17787.25</v>
      </c>
      <c r="P11" s="11">
        <v>4398</v>
      </c>
      <c r="Q11" s="11">
        <v>81463</v>
      </c>
      <c r="R11" s="5"/>
      <c r="T11" s="11">
        <v>10906</v>
      </c>
      <c r="U11" s="11">
        <v>50053</v>
      </c>
    </row>
    <row r="12" spans="1:21" ht="15.5" x14ac:dyDescent="0.35">
      <c r="A12" s="36" t="s">
        <v>12</v>
      </c>
      <c r="B12" s="41">
        <v>58427</v>
      </c>
      <c r="C12" s="41">
        <v>40215</v>
      </c>
      <c r="D12" s="41">
        <v>0</v>
      </c>
      <c r="E12" s="42">
        <v>29310</v>
      </c>
      <c r="F12" s="39">
        <f>Table121422[[#This Row],[Premium]]+Table121422[[#This Row],[Biosolar]]+Table121422[[#This Row],[Minyak Tanah]]+Table121422[[#This Row],[LPG]]</f>
        <v>127952</v>
      </c>
      <c r="G12" s="2"/>
      <c r="H12" s="2"/>
      <c r="I12" s="2"/>
      <c r="J12" s="2"/>
      <c r="K12" s="2"/>
      <c r="L12" s="2"/>
      <c r="P12" s="5"/>
      <c r="Q12" s="5"/>
      <c r="R12" s="5"/>
      <c r="S12" s="5"/>
      <c r="T12" s="5"/>
    </row>
    <row r="13" spans="1:21" ht="15.5" x14ac:dyDescent="0.35">
      <c r="A13" s="7" t="s">
        <v>13</v>
      </c>
      <c r="B13" s="18">
        <v>22583</v>
      </c>
      <c r="C13" s="18">
        <v>13488</v>
      </c>
      <c r="D13" s="18">
        <v>0</v>
      </c>
      <c r="E13" s="19">
        <v>8299</v>
      </c>
      <c r="F13" s="1">
        <f>Table121422[[#This Row],[Premium]]+Table121422[[#This Row],[Biosolar]]+Table121422[[#This Row],[Minyak Tanah]]+Table121422[[#This Row],[LPG]]</f>
        <v>44370</v>
      </c>
      <c r="G13" s="2"/>
      <c r="H13" s="2"/>
      <c r="I13" s="2"/>
      <c r="J13" s="2"/>
      <c r="K13" s="2"/>
      <c r="L13" s="2"/>
      <c r="N13" s="79" t="s">
        <v>64</v>
      </c>
      <c r="O13" s="80"/>
      <c r="P13" s="77">
        <v>0</v>
      </c>
      <c r="Q13" s="77"/>
      <c r="R13" s="5"/>
      <c r="S13" s="52" t="s">
        <v>65</v>
      </c>
      <c r="T13" s="71">
        <v>8320</v>
      </c>
      <c r="U13" s="72"/>
    </row>
    <row r="14" spans="1:21" ht="15.5" x14ac:dyDescent="0.35">
      <c r="A14" s="2"/>
      <c r="B14" s="2"/>
      <c r="C14" s="2"/>
      <c r="D14" s="2"/>
      <c r="E14" s="2"/>
      <c r="F14" s="2"/>
      <c r="G14" s="2"/>
      <c r="H14" s="69" t="s">
        <v>22</v>
      </c>
      <c r="I14" s="70" t="s">
        <v>0</v>
      </c>
      <c r="J14" s="70"/>
      <c r="K14" s="70"/>
      <c r="L14" s="70"/>
      <c r="P14" s="10">
        <v>0</v>
      </c>
      <c r="Q14" s="10">
        <v>0</v>
      </c>
      <c r="R14" s="5"/>
      <c r="T14" s="11">
        <v>7131</v>
      </c>
      <c r="U14" s="11">
        <v>17787</v>
      </c>
    </row>
    <row r="15" spans="1:21" ht="15.5" x14ac:dyDescent="0.35">
      <c r="A15" s="2"/>
      <c r="B15" s="2"/>
      <c r="C15" s="2"/>
      <c r="D15" s="2"/>
      <c r="E15" s="2"/>
      <c r="F15" s="2"/>
      <c r="G15" s="2"/>
      <c r="H15" s="73"/>
      <c r="I15" s="46" t="s">
        <v>1</v>
      </c>
      <c r="J15" s="46" t="s">
        <v>61</v>
      </c>
      <c r="K15" s="46" t="s">
        <v>3</v>
      </c>
      <c r="L15" s="46" t="s">
        <v>4</v>
      </c>
      <c r="P15" s="10">
        <v>0</v>
      </c>
      <c r="Q15" s="10">
        <v>15</v>
      </c>
      <c r="R15" s="5"/>
      <c r="T15" s="11">
        <v>1490</v>
      </c>
      <c r="U15" s="11">
        <v>29310</v>
      </c>
    </row>
    <row r="16" spans="1:21" ht="15.5" x14ac:dyDescent="0.35">
      <c r="A16" s="2"/>
      <c r="B16" s="2"/>
      <c r="C16" s="2"/>
      <c r="D16" s="2"/>
      <c r="E16" s="2"/>
      <c r="F16" s="2"/>
      <c r="G16" s="2"/>
      <c r="H16" s="47" t="s">
        <v>23</v>
      </c>
      <c r="I16" s="48">
        <f>_xlfn.VAR.S(Table121422[Premium])</f>
        <v>561809288.04444444</v>
      </c>
      <c r="J16" s="48">
        <f>_xlfn.VAR.S(Table121422[Biosolar])</f>
        <v>256889943.87777773</v>
      </c>
      <c r="K16" s="48">
        <f>_xlfn.VAR.S(Table121422[Minyak Tanah])</f>
        <v>22.5</v>
      </c>
      <c r="L16" s="48">
        <f>_xlfn.VAR.S(Table121422[LPG])</f>
        <v>74525165.877777785</v>
      </c>
    </row>
    <row r="17" spans="1:12" ht="15.5" x14ac:dyDescent="0.35">
      <c r="A17" s="2"/>
      <c r="B17" s="2"/>
      <c r="C17" s="2"/>
      <c r="D17" s="2"/>
      <c r="E17" s="2"/>
      <c r="F17" s="2"/>
      <c r="G17" s="2"/>
      <c r="H17" s="47" t="s">
        <v>25</v>
      </c>
      <c r="I17" s="48">
        <f>_xlfn.STDEV.S(Table121422[Premium])</f>
        <v>23702.516491808299</v>
      </c>
      <c r="J17" s="48">
        <f>_xlfn.STDEV.S(Table121422[Biosolar])</f>
        <v>16027.786618175878</v>
      </c>
      <c r="K17" s="48">
        <f>_xlfn.STDEV.S(Table121422[Minyak Tanah])</f>
        <v>4.7434164902525691</v>
      </c>
      <c r="L17" s="48">
        <f>_xlfn.STDEV.S(Table121422[LPG])</f>
        <v>8632.7959478825742</v>
      </c>
    </row>
    <row r="18" spans="1:12" ht="15.5" x14ac:dyDescent="0.35">
      <c r="A18" s="2"/>
      <c r="B18" s="2"/>
      <c r="C18" s="2"/>
      <c r="D18" s="2"/>
      <c r="E18" s="2"/>
      <c r="F18" s="2"/>
      <c r="G18" s="2"/>
      <c r="H18" s="47" t="s">
        <v>24</v>
      </c>
      <c r="I18" s="48">
        <f>MAX(Table121422[Premium])-MIN(Table121422[Premium])</f>
        <v>77065</v>
      </c>
      <c r="J18" s="48">
        <f>MAX(Table121422[Biosolar])-MIN(Table121422[Biosolar])</f>
        <v>48957</v>
      </c>
      <c r="K18" s="48">
        <f>MAX(Table121422[Minyak Tanah])-MIN(Table121422[Minyak Tanah])</f>
        <v>15</v>
      </c>
      <c r="L18" s="48">
        <f>MAX(Table121422[LPG])-MIN(Table121422[LPG])</f>
        <v>27820</v>
      </c>
    </row>
    <row r="19" spans="1:12" ht="15.5" x14ac:dyDescent="0.35">
      <c r="A19" s="2"/>
      <c r="B19" s="2"/>
      <c r="C19" s="2"/>
      <c r="D19" s="2"/>
      <c r="E19" s="2"/>
      <c r="F19" s="2"/>
      <c r="G19" s="2"/>
      <c r="H19" s="47" t="s">
        <v>26</v>
      </c>
      <c r="I19" s="48">
        <f>I11-I10</f>
        <v>37706.5</v>
      </c>
      <c r="J19" s="48">
        <f>J11-J10</f>
        <v>29082.25</v>
      </c>
      <c r="K19" s="48">
        <f>K11-K10</f>
        <v>0</v>
      </c>
      <c r="L19" s="48">
        <f>L11-L10</f>
        <v>10656.25</v>
      </c>
    </row>
    <row r="20" spans="1:12" ht="15.5" x14ac:dyDescent="0.35">
      <c r="A20" s="2"/>
      <c r="B20" s="2"/>
      <c r="C20" s="2"/>
      <c r="D20" s="2"/>
      <c r="E20" s="2"/>
      <c r="F20" s="2"/>
      <c r="G20" s="2"/>
      <c r="H20" s="47" t="s">
        <v>28</v>
      </c>
      <c r="I20" s="49">
        <f>MIN(Table121422[Premium])</f>
        <v>4398</v>
      </c>
      <c r="J20" s="49">
        <f>MIN(Table121422[Biosolar])</f>
        <v>1096</v>
      </c>
      <c r="K20" s="49">
        <f>MIN(Table121422[Minyak Tanah])</f>
        <v>0</v>
      </c>
      <c r="L20" s="49">
        <f>MIN(Table121422[LPG])</f>
        <v>1490</v>
      </c>
    </row>
    <row r="21" spans="1:12" ht="15.5" x14ac:dyDescent="0.35">
      <c r="A21" s="2"/>
      <c r="B21" s="2"/>
      <c r="C21" s="2"/>
      <c r="D21" s="2"/>
      <c r="E21" s="2"/>
      <c r="F21" s="2"/>
      <c r="G21" s="2"/>
      <c r="H21" s="47" t="s">
        <v>29</v>
      </c>
      <c r="I21" s="49">
        <f>MAX(Table121422[Premium])</f>
        <v>81463</v>
      </c>
      <c r="J21" s="49">
        <f>MAX(Table121422[Biosolar])</f>
        <v>50053</v>
      </c>
      <c r="K21" s="49">
        <f>MAX(Table121422[Minyak Tanah])</f>
        <v>15</v>
      </c>
      <c r="L21" s="49">
        <f>MAX(Table121422[LPG])</f>
        <v>29310</v>
      </c>
    </row>
  </sheetData>
  <mergeCells count="13">
    <mergeCell ref="H14:H15"/>
    <mergeCell ref="I14:L14"/>
    <mergeCell ref="H3:I3"/>
    <mergeCell ref="R5:S5"/>
    <mergeCell ref="P9:Q9"/>
    <mergeCell ref="P13:Q13"/>
    <mergeCell ref="Q3:S3"/>
    <mergeCell ref="N13:O13"/>
    <mergeCell ref="A1:L1"/>
    <mergeCell ref="H5:H6"/>
    <mergeCell ref="I5:L5"/>
    <mergeCell ref="T9:U9"/>
    <mergeCell ref="T13:U13"/>
  </mergeCells>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C209C-BBCF-41C0-A667-ECEF1283D4B3}">
  <dimension ref="A1:N48"/>
  <sheetViews>
    <sheetView showGridLines="0" topLeftCell="D73" zoomScale="99" zoomScaleNormal="100" workbookViewId="0">
      <selection activeCell="L91" sqref="L91"/>
    </sheetView>
  </sheetViews>
  <sheetFormatPr defaultRowHeight="14.5" x14ac:dyDescent="0.35"/>
  <cols>
    <col min="1" max="1" width="18.54296875" customWidth="1"/>
    <col min="2" max="2" width="12" customWidth="1"/>
    <col min="3" max="3" width="11.26953125" customWidth="1"/>
    <col min="4" max="4" width="16.7265625" customWidth="1"/>
    <col min="5" max="5" width="10.26953125" customWidth="1"/>
    <col min="6" max="6" width="10" customWidth="1"/>
    <col min="7" max="7" width="12.36328125" customWidth="1"/>
    <col min="10" max="10" width="20.08984375" customWidth="1"/>
    <col min="11" max="11" width="12.36328125" customWidth="1"/>
    <col min="12" max="12" width="10.36328125" customWidth="1"/>
    <col min="13" max="13" width="12.7265625" customWidth="1"/>
    <col min="14" max="14" width="15.26953125" bestFit="1" customWidth="1"/>
    <col min="15" max="15" width="10.1796875" customWidth="1"/>
  </cols>
  <sheetData>
    <row r="1" spans="1:14" ht="15.5" customHeight="1" x14ac:dyDescent="0.35">
      <c r="A1" s="85" t="s">
        <v>66</v>
      </c>
      <c r="B1" s="85"/>
      <c r="C1" s="85"/>
      <c r="D1" s="85"/>
      <c r="E1" s="85"/>
      <c r="F1" s="85"/>
      <c r="G1" s="85"/>
      <c r="H1" s="85"/>
      <c r="I1" s="85"/>
      <c r="J1" s="60" t="s">
        <v>42</v>
      </c>
    </row>
    <row r="2" spans="1:14" ht="15.5" x14ac:dyDescent="0.35">
      <c r="A2" s="35" t="s">
        <v>30</v>
      </c>
      <c r="B2" s="35" t="s">
        <v>1</v>
      </c>
      <c r="C2" s="35" t="s">
        <v>2</v>
      </c>
      <c r="D2" s="35" t="s">
        <v>3</v>
      </c>
      <c r="E2" s="35" t="s">
        <v>4</v>
      </c>
      <c r="F2" s="35" t="s">
        <v>14</v>
      </c>
      <c r="G2" s="2"/>
      <c r="J2" s="35" t="s">
        <v>30</v>
      </c>
      <c r="K2" s="35" t="s">
        <v>1</v>
      </c>
      <c r="L2" s="35" t="s">
        <v>61</v>
      </c>
      <c r="M2" s="35" t="s">
        <v>3</v>
      </c>
      <c r="N2" s="35" t="s">
        <v>4</v>
      </c>
    </row>
    <row r="3" spans="1:14" ht="15.5" x14ac:dyDescent="0.35">
      <c r="A3" s="36" t="s">
        <v>5</v>
      </c>
      <c r="B3" s="37">
        <v>4398</v>
      </c>
      <c r="C3" s="37">
        <v>1096</v>
      </c>
      <c r="D3" s="37">
        <v>0</v>
      </c>
      <c r="E3" s="38">
        <v>1490</v>
      </c>
      <c r="F3" s="39">
        <f>Table121428[[#This Row],[Premium]]+Table121428[[#This Row],[Bisolar]]+Table121428[[#This Row],[Minyak Tanah]]+Table121428[[#This Row],[LPG]]</f>
        <v>6984</v>
      </c>
      <c r="G3" s="2"/>
      <c r="J3" s="36" t="s">
        <v>5</v>
      </c>
      <c r="K3" s="53">
        <f>(Table121428[[#This Row],[Premium]]-B$17)/B$22</f>
        <v>-0.29175371439693765</v>
      </c>
      <c r="L3" s="53">
        <f>(Table121428[[#This Row],[Bisolar]]-C$17)/C$22</f>
        <v>-0.47004514165492167</v>
      </c>
      <c r="M3" s="53">
        <f>(Table121428[[#This Row],[Minyak Tanah]]-D$17)/D$22</f>
        <v>0</v>
      </c>
      <c r="N3" s="54">
        <f>(Table121428[[#This Row],[LPG]]-E$17)/E$22</f>
        <v>-0.24550682961897916</v>
      </c>
    </row>
    <row r="4" spans="1:14" ht="15.5" x14ac:dyDescent="0.35">
      <c r="A4" s="7" t="s">
        <v>6</v>
      </c>
      <c r="B4" s="3">
        <v>36520</v>
      </c>
      <c r="C4" s="3">
        <v>23336</v>
      </c>
      <c r="D4" s="3">
        <v>15</v>
      </c>
      <c r="E4" s="8">
        <v>8585</v>
      </c>
      <c r="F4" s="1">
        <f>Table121428[[#This Row],[Premium]]+Table121428[[#This Row],[Bisolar]]+Table121428[[#This Row],[Minyak Tanah]]+Table121428[[#This Row],[LPG]]</f>
        <v>68456</v>
      </c>
      <c r="G4" s="2"/>
      <c r="J4" s="7" t="s">
        <v>6</v>
      </c>
      <c r="K4" s="4">
        <f>(Table121428[[#This Row],[Premium]]-B$17)/B$22</f>
        <v>0.1250632582884578</v>
      </c>
      <c r="L4" s="4">
        <f>(Table121428[[#This Row],[Bisolar]]-C$17)/C$22</f>
        <v>-1.5768940090283311E-2</v>
      </c>
      <c r="M4" s="4">
        <f>(Table121428[[#This Row],[Minyak Tanah]]-D$17)/D$22</f>
        <v>1</v>
      </c>
      <c r="N4" s="14">
        <f>(Table121428[[#This Row],[LPG]]-E$17)/E$22</f>
        <v>9.5255212077641985E-3</v>
      </c>
    </row>
    <row r="5" spans="1:14" ht="15.5" x14ac:dyDescent="0.35">
      <c r="A5" s="36" t="s">
        <v>7</v>
      </c>
      <c r="B5" s="37">
        <v>13966</v>
      </c>
      <c r="C5" s="37">
        <v>13304</v>
      </c>
      <c r="D5" s="37">
        <v>0</v>
      </c>
      <c r="E5" s="38">
        <v>7607</v>
      </c>
      <c r="F5" s="39">
        <f>Table121428[[#This Row],[Premium]]+Table121428[[#This Row],[Bisolar]]+Table121428[[#This Row],[Minyak Tanah]]+Table121428[[#This Row],[LPG]]</f>
        <v>34877</v>
      </c>
      <c r="G5" s="2"/>
      <c r="J5" s="36" t="s">
        <v>7</v>
      </c>
      <c r="K5" s="53">
        <f>(Table121428[[#This Row],[Premium]]-B$17)/B$22</f>
        <v>-0.16759878025043795</v>
      </c>
      <c r="L5" s="53">
        <f>(Table121428[[#This Row],[Bisolar]]-C$17)/C$22</f>
        <v>-0.22068345691116695</v>
      </c>
      <c r="M5" s="53">
        <f>(Table121428[[#This Row],[Minyak Tanah]]-D$17)/D$22</f>
        <v>0</v>
      </c>
      <c r="N5" s="54">
        <f>(Table121428[[#This Row],[LPG]]-E$17)/E$22</f>
        <v>-2.5629043853342918E-2</v>
      </c>
    </row>
    <row r="6" spans="1:14" ht="15.5" x14ac:dyDescent="0.35">
      <c r="A6" s="7" t="s">
        <v>8</v>
      </c>
      <c r="B6" s="3">
        <v>28455</v>
      </c>
      <c r="C6" s="3">
        <v>24880</v>
      </c>
      <c r="D6" s="3">
        <v>0</v>
      </c>
      <c r="E6" s="8">
        <v>7372</v>
      </c>
      <c r="F6" s="1">
        <f>Table121428[[#This Row],[Premium]]+Table121428[[#This Row],[Bisolar]]+Table121428[[#This Row],[Minyak Tanah]]+Table121428[[#This Row],[LPG]]</f>
        <v>60707</v>
      </c>
      <c r="G6" s="2"/>
      <c r="J6" s="7" t="s">
        <v>8</v>
      </c>
      <c r="K6" s="4">
        <f>(Table121428[[#This Row],[Premium]]-B$17)/B$22</f>
        <v>2.0411341075715305E-2</v>
      </c>
      <c r="L6" s="4">
        <f>(Table121428[[#This Row],[Bisolar]]-C$17)/C$22</f>
        <v>1.5768940090283311E-2</v>
      </c>
      <c r="M6" s="4">
        <f>(Table121428[[#This Row],[Minyak Tanah]]-D$17)/D$22</f>
        <v>0</v>
      </c>
      <c r="N6" s="14">
        <f>(Table121428[[#This Row],[LPG]]-E$17)/E$22</f>
        <v>-3.4076204169662117E-2</v>
      </c>
    </row>
    <row r="7" spans="1:14" ht="15.5" x14ac:dyDescent="0.35">
      <c r="A7" s="36" t="s">
        <v>31</v>
      </c>
      <c r="B7" s="37">
        <v>25309</v>
      </c>
      <c r="C7" s="37">
        <v>27024</v>
      </c>
      <c r="D7" s="37">
        <v>0</v>
      </c>
      <c r="E7" s="38">
        <v>8341</v>
      </c>
      <c r="F7" s="39">
        <f>Table121428[[#This Row],[Premium]]+Table121428[[#This Row],[Bisolar]]+Table121428[[#This Row],[Minyak Tanah]]+Table121428[[#This Row],[LPG]]</f>
        <v>60674</v>
      </c>
      <c r="G7" s="2"/>
      <c r="J7" s="36" t="s">
        <v>31</v>
      </c>
      <c r="K7" s="53">
        <f>(Table121428[[#This Row],[Premium]]-B$17)/B$22</f>
        <v>-2.0411341075715305E-2</v>
      </c>
      <c r="L7" s="53">
        <f>(Table121428[[#This Row],[Bisolar]]-C$17)/C$22</f>
        <v>5.9562473190759239E-2</v>
      </c>
      <c r="M7" s="53">
        <f>(Table121428[[#This Row],[Minyak Tanah]]-D$17)/D$22</f>
        <v>0</v>
      </c>
      <c r="N7" s="54">
        <f>(Table121428[[#This Row],[LPG]]-E$17)/E$22</f>
        <v>7.5485262401150249E-4</v>
      </c>
    </row>
    <row r="8" spans="1:14" ht="15.5" x14ac:dyDescent="0.35">
      <c r="A8" s="7" t="s">
        <v>9</v>
      </c>
      <c r="B8" s="3">
        <v>22174</v>
      </c>
      <c r="C8" s="3">
        <v>20091</v>
      </c>
      <c r="D8" s="3">
        <v>0</v>
      </c>
      <c r="E8" s="8">
        <v>6408</v>
      </c>
      <c r="F8" s="1">
        <f>Table121428[[#This Row],[Premium]]+Table121428[[#This Row],[Bisolar]]+Table121428[[#This Row],[Minyak Tanah]]+Table121428[[#This Row],[LPG]]</f>
        <v>48673</v>
      </c>
      <c r="G8" s="2"/>
      <c r="J8" s="7" t="s">
        <v>9</v>
      </c>
      <c r="K8" s="4">
        <f>(Table121428[[#This Row],[Premium]]-B$17)/B$22</f>
        <v>-6.1091286576266786E-2</v>
      </c>
      <c r="L8" s="4">
        <f>(Table121428[[#This Row],[Bisolar]]-C$17)/C$22</f>
        <v>-8.2051596298792814E-2</v>
      </c>
      <c r="M8" s="4">
        <f>(Table121428[[#This Row],[Minyak Tanah]]-D$17)/D$22</f>
        <v>0</v>
      </c>
      <c r="N8" s="14">
        <f>(Table121428[[#This Row],[LPG]]-E$17)/E$22</f>
        <v>-6.872753414809489E-2</v>
      </c>
    </row>
    <row r="9" spans="1:14" ht="15.5" x14ac:dyDescent="0.35">
      <c r="A9" s="36" t="s">
        <v>10</v>
      </c>
      <c r="B9" s="37">
        <v>57629</v>
      </c>
      <c r="C9" s="37">
        <v>49452</v>
      </c>
      <c r="D9" s="37">
        <v>0</v>
      </c>
      <c r="E9" s="38">
        <v>15826</v>
      </c>
      <c r="F9" s="39">
        <f>Table121428[[#This Row],[Premium]]+Table121428[[#This Row],[Bisolar]]+Table121428[[#This Row],[Minyak Tanah]]+Table121428[[#This Row],[LPG]]</f>
        <v>122907</v>
      </c>
      <c r="G9" s="2"/>
      <c r="J9" s="36" t="s">
        <v>10</v>
      </c>
      <c r="K9" s="53">
        <f>(Table121428[[#This Row],[Premium]]-B$17)/B$22</f>
        <v>0.39897489132550445</v>
      </c>
      <c r="L9" s="53">
        <f>(Table121428[[#This Row],[Bisolar]]-C$17)/C$22</f>
        <v>0.51767877933696915</v>
      </c>
      <c r="M9" s="53">
        <f>(Table121428[[#This Row],[Minyak Tanah]]-D$17)/D$22</f>
        <v>0</v>
      </c>
      <c r="N9" s="54">
        <f>(Table121428[[#This Row],[LPG]]-E$17)/E$22</f>
        <v>0.26980589503953989</v>
      </c>
    </row>
    <row r="10" spans="1:14" ht="15.5" x14ac:dyDescent="0.35">
      <c r="A10" s="7" t="s">
        <v>11</v>
      </c>
      <c r="B10" s="3">
        <v>81463</v>
      </c>
      <c r="C10" s="3">
        <v>50053</v>
      </c>
      <c r="D10" s="3">
        <v>0</v>
      </c>
      <c r="E10" s="8">
        <v>23671</v>
      </c>
      <c r="F10" s="1">
        <f>Table121428[[#This Row],[Premium]]+Table121428[[#This Row],[Bisolar]]+Table121428[[#This Row],[Minyak Tanah]]+Table121428[[#This Row],[LPG]]</f>
        <v>155187</v>
      </c>
      <c r="G10" s="2"/>
      <c r="J10" s="7" t="s">
        <v>11</v>
      </c>
      <c r="K10" s="4">
        <f>(Table121428[[#This Row],[Premium]]-B$17)/B$22</f>
        <v>0.70824628560306235</v>
      </c>
      <c r="L10" s="4">
        <f>(Table121428[[#This Row],[Bisolar]]-C$17)/C$22</f>
        <v>0.52995485834507838</v>
      </c>
      <c r="M10" s="4">
        <f>(Table121428[[#This Row],[Minyak Tanah]]-D$17)/D$22</f>
        <v>0</v>
      </c>
      <c r="N10" s="14">
        <f>(Table121428[[#This Row],[LPG]]-E$17)/E$22</f>
        <v>0.55179726815240837</v>
      </c>
    </row>
    <row r="11" spans="1:14" ht="15.5" x14ac:dyDescent="0.35">
      <c r="A11" s="36" t="s">
        <v>12</v>
      </c>
      <c r="B11" s="37">
        <v>58427</v>
      </c>
      <c r="C11" s="37">
        <v>40215</v>
      </c>
      <c r="D11" s="37">
        <v>0</v>
      </c>
      <c r="E11" s="38">
        <v>29310</v>
      </c>
      <c r="F11" s="39">
        <f>Table121428[[#This Row],[Premium]]+Table121428[[#This Row],[Bisolar]]+Table121428[[#This Row],[Minyak Tanah]]+Table121428[[#This Row],[LPG]]</f>
        <v>127952</v>
      </c>
      <c r="G11" s="2"/>
      <c r="J11" s="36" t="s">
        <v>12</v>
      </c>
      <c r="K11" s="53">
        <f>(Table121428[[#This Row],[Premium]]-B$17)/B$22</f>
        <v>0.40932978654382662</v>
      </c>
      <c r="L11" s="53">
        <f>(Table121428[[#This Row],[Bisolar]]-C$17)/C$22</f>
        <v>0.3290030026349654</v>
      </c>
      <c r="M11" s="53">
        <f>(Table121428[[#This Row],[Minyak Tanah]]-D$17)/D$22</f>
        <v>0</v>
      </c>
      <c r="N11" s="54">
        <f>(Table121428[[#This Row],[LPG]]-E$17)/E$22</f>
        <v>0.75449317038102082</v>
      </c>
    </row>
    <row r="12" spans="1:14" ht="15.5" x14ac:dyDescent="0.35">
      <c r="A12" s="7" t="s">
        <v>13</v>
      </c>
      <c r="B12" s="3">
        <v>22583</v>
      </c>
      <c r="C12" s="3">
        <v>13488</v>
      </c>
      <c r="D12" s="3">
        <v>0</v>
      </c>
      <c r="E12" s="8">
        <v>8299</v>
      </c>
      <c r="F12" s="1">
        <f>Table121428[[#This Row],[Premium]]+Table121428[[#This Row],[Bisolar]]+Table121428[[#This Row],[Minyak Tanah]]+Table121428[[#This Row],[LPG]]</f>
        <v>44370</v>
      </c>
      <c r="G12" s="2"/>
      <c r="J12" s="7" t="s">
        <v>13</v>
      </c>
      <c r="K12" s="4">
        <f>(Table121428[[#This Row],[Premium]]-B$17)/B$22</f>
        <v>-5.5784078375397395E-2</v>
      </c>
      <c r="L12" s="4">
        <f>(Table121428[[#This Row],[Bisolar]]-C$17)/C$22</f>
        <v>-0.21692505668239476</v>
      </c>
      <c r="M12" s="4">
        <f>(Table121428[[#This Row],[Minyak Tanah]]-D$17)/D$22</f>
        <v>0</v>
      </c>
      <c r="N12" s="14">
        <f>(Table121428[[#This Row],[LPG]]-E$17)/E$22</f>
        <v>-7.5485262401150249E-4</v>
      </c>
    </row>
    <row r="15" spans="1:14" ht="15.5" x14ac:dyDescent="0.35">
      <c r="A15" s="69" t="s">
        <v>17</v>
      </c>
      <c r="B15" s="70" t="s">
        <v>0</v>
      </c>
      <c r="C15" s="70"/>
      <c r="D15" s="70"/>
      <c r="E15" s="70"/>
      <c r="J15" s="65" t="s">
        <v>15</v>
      </c>
      <c r="K15" s="65"/>
      <c r="L15" s="59" t="s">
        <v>32</v>
      </c>
      <c r="M15" s="61"/>
      <c r="N15" s="61"/>
    </row>
    <row r="16" spans="1:14" ht="15.5" x14ac:dyDescent="0.35">
      <c r="A16" s="69"/>
      <c r="B16" s="46" t="s">
        <v>1</v>
      </c>
      <c r="C16" s="46" t="s">
        <v>2</v>
      </c>
      <c r="D16" s="46" t="s">
        <v>3</v>
      </c>
      <c r="E16" s="46" t="s">
        <v>4</v>
      </c>
      <c r="J16" s="61"/>
      <c r="K16" s="61"/>
      <c r="L16" s="61"/>
      <c r="M16" s="61"/>
      <c r="N16" s="61"/>
    </row>
    <row r="17" spans="1:14" ht="15.5" x14ac:dyDescent="0.35">
      <c r="A17" s="43" t="s">
        <v>18</v>
      </c>
      <c r="B17" s="44">
        <f>MEDIAN(Table121422[Premium])</f>
        <v>26882</v>
      </c>
      <c r="C17" s="44">
        <f>MEDIAN(Table121422[Biosolar])</f>
        <v>24108</v>
      </c>
      <c r="D17" s="44">
        <f>MEDIAN(Table121422[Minyak Tanah])</f>
        <v>0</v>
      </c>
      <c r="E17" s="44">
        <f>MEDIAN(Table121422[LPG])</f>
        <v>8320</v>
      </c>
      <c r="J17" s="69" t="s">
        <v>17</v>
      </c>
      <c r="K17" s="70" t="s">
        <v>0</v>
      </c>
      <c r="L17" s="70"/>
      <c r="M17" s="70"/>
      <c r="N17" s="70"/>
    </row>
    <row r="18" spans="1:14" ht="15.5" x14ac:dyDescent="0.35">
      <c r="A18" s="2"/>
      <c r="B18" s="13"/>
      <c r="C18" s="13"/>
      <c r="D18" s="13"/>
      <c r="E18" s="13"/>
      <c r="J18" s="69"/>
      <c r="K18" s="46" t="s">
        <v>1</v>
      </c>
      <c r="L18" s="46" t="s">
        <v>61</v>
      </c>
      <c r="M18" s="46" t="s">
        <v>3</v>
      </c>
      <c r="N18" s="46" t="s">
        <v>4</v>
      </c>
    </row>
    <row r="19" spans="1:14" ht="15.5" x14ac:dyDescent="0.35">
      <c r="A19" s="2"/>
      <c r="B19" s="13"/>
      <c r="C19" s="13"/>
      <c r="D19" s="13"/>
      <c r="E19" s="13"/>
      <c r="J19" s="43" t="s">
        <v>16</v>
      </c>
      <c r="K19" s="56">
        <f>AVERAGE(Table12142829[Premium])</f>
        <v>0.10653863621618113</v>
      </c>
      <c r="L19" s="56">
        <f>AVERAGE(Table12142829[Biosolar])</f>
        <v>4.4649386196049606E-2</v>
      </c>
      <c r="M19" s="56">
        <f>AVERAGE(Table12142829[Minyak Tanah])</f>
        <v>0.1</v>
      </c>
      <c r="N19" s="56">
        <f>AVERAGE(Table12142829[LPG])</f>
        <v>0.12116822429906542</v>
      </c>
    </row>
    <row r="20" spans="1:14" ht="15.5" x14ac:dyDescent="0.35">
      <c r="A20" s="69" t="s">
        <v>22</v>
      </c>
      <c r="B20" s="87" t="s">
        <v>0</v>
      </c>
      <c r="C20" s="87"/>
      <c r="D20" s="87"/>
      <c r="E20" s="87"/>
      <c r="J20" s="43" t="s">
        <v>18</v>
      </c>
      <c r="K20" s="56">
        <f>MEDIAN(Table12142829[Premium])</f>
        <v>0</v>
      </c>
      <c r="L20" s="56">
        <f>MEDIAN(Table12142829[Biosolar])</f>
        <v>0</v>
      </c>
      <c r="M20" s="56">
        <f>MEDIAN(Table12142829[Minyak Tanah])</f>
        <v>0</v>
      </c>
      <c r="N20" s="56">
        <f>MEDIAN(Table12142829[LPG])</f>
        <v>0</v>
      </c>
    </row>
    <row r="21" spans="1:14" ht="15.5" x14ac:dyDescent="0.35">
      <c r="A21" s="73"/>
      <c r="B21" s="55" t="s">
        <v>1</v>
      </c>
      <c r="C21" s="55" t="s">
        <v>2</v>
      </c>
      <c r="D21" s="55" t="s">
        <v>3</v>
      </c>
      <c r="E21" s="55" t="s">
        <v>4</v>
      </c>
      <c r="J21" s="43" t="s">
        <v>19</v>
      </c>
      <c r="K21" s="56" t="e">
        <f>MODE(Table12142829[Premium])</f>
        <v>#N/A</v>
      </c>
      <c r="L21" s="56" t="e">
        <f>MODE(Table12142829[Biosolar])</f>
        <v>#N/A</v>
      </c>
      <c r="M21" s="56">
        <f>MODE(Table12142829[Minyak Tanah])</f>
        <v>0</v>
      </c>
      <c r="N21" s="56" t="e">
        <f>MODE(Table12142829[LPG])</f>
        <v>#N/A</v>
      </c>
    </row>
    <row r="22" spans="1:14" ht="15.5" x14ac:dyDescent="0.35">
      <c r="A22" s="47" t="s">
        <v>24</v>
      </c>
      <c r="B22" s="48">
        <f>MAX(Table121422[Premium])-MIN(Table121422[Premium])</f>
        <v>77065</v>
      </c>
      <c r="C22" s="48">
        <f>MAX(Table121422[Biosolar])-MIN(Table121422[Biosolar])</f>
        <v>48957</v>
      </c>
      <c r="D22" s="48">
        <f>MAX(Table121422[Minyak Tanah])-MIN(Table121422[Minyak Tanah])</f>
        <v>15</v>
      </c>
      <c r="E22" s="48">
        <f>MAX(Table121422[LPG])-MIN(Table121422[LPG])</f>
        <v>27820</v>
      </c>
      <c r="J22" s="43" t="s">
        <v>20</v>
      </c>
      <c r="K22" s="56">
        <f>_xlfn.QUARTILE.EXC(Table12142829[Premium],1)</f>
        <v>-8.7718159994809572E-2</v>
      </c>
      <c r="L22" s="56">
        <f>_xlfn.QUARTILE.EXC(Table12142829[Biosolar],1)</f>
        <v>-0.2178646567395878</v>
      </c>
      <c r="M22" s="56">
        <f>_xlfn.QUARTILE.EXC(Table12142829[Minyak Tanah],1)</f>
        <v>0</v>
      </c>
      <c r="N22" s="56">
        <f>_xlfn.QUARTILE.EXC(Table12142829[LPG],1)</f>
        <v>-4.2739036664270313E-2</v>
      </c>
    </row>
    <row r="23" spans="1:14" ht="15.5" x14ac:dyDescent="0.35">
      <c r="J23" s="43" t="s">
        <v>21</v>
      </c>
      <c r="K23" s="56">
        <f>_xlfn.QUARTILE.EXC(Table12142829[Premium],3)</f>
        <v>0.40156361513008498</v>
      </c>
      <c r="L23" s="56">
        <f>_xlfn.QUARTILE.EXC(Table12142829[Biosolar],3)</f>
        <v>0.37617194681046634</v>
      </c>
      <c r="M23" s="56">
        <f>_xlfn.QUARTILE.EXC(Table12142829[Minyak Tanah],3)</f>
        <v>0</v>
      </c>
      <c r="N23" s="56">
        <f>_xlfn.QUARTILE.EXC(Table12142829[LPG],3)</f>
        <v>0.34030373831775701</v>
      </c>
    </row>
    <row r="24" spans="1:14" ht="15.5" x14ac:dyDescent="0.35">
      <c r="J24" s="2"/>
      <c r="K24" s="2"/>
      <c r="L24" s="2"/>
      <c r="M24" s="2"/>
      <c r="N24" s="2"/>
    </row>
    <row r="25" spans="1:14" ht="15.5" x14ac:dyDescent="0.35">
      <c r="J25" s="2"/>
      <c r="K25" s="2"/>
      <c r="L25" s="2"/>
      <c r="M25" s="2"/>
      <c r="N25" s="2"/>
    </row>
    <row r="26" spans="1:14" ht="15.5" x14ac:dyDescent="0.35">
      <c r="J26" s="69" t="s">
        <v>22</v>
      </c>
      <c r="K26" s="70" t="s">
        <v>0</v>
      </c>
      <c r="L26" s="70"/>
      <c r="M26" s="70"/>
      <c r="N26" s="70"/>
    </row>
    <row r="27" spans="1:14" ht="15.5" x14ac:dyDescent="0.35">
      <c r="J27" s="73"/>
      <c r="K27" s="46" t="s">
        <v>1</v>
      </c>
      <c r="L27" s="46" t="s">
        <v>61</v>
      </c>
      <c r="M27" s="46" t="s">
        <v>3</v>
      </c>
      <c r="N27" s="46" t="s">
        <v>4</v>
      </c>
    </row>
    <row r="28" spans="1:14" ht="15.5" x14ac:dyDescent="0.35">
      <c r="J28" s="47" t="s">
        <v>23</v>
      </c>
      <c r="K28" s="57">
        <f>_xlfn.VAR.S(Table12142829[Premium])</f>
        <v>9.4596387003003754E-2</v>
      </c>
      <c r="L28" s="57">
        <f>_xlfn.VAR.S(Table12142829[Biosolar])</f>
        <v>0.10718092716673221</v>
      </c>
      <c r="M28" s="57">
        <f>_xlfn.VAR.S(Table12142829[Minyak Tanah])</f>
        <v>0.1</v>
      </c>
      <c r="N28" s="57">
        <f>_xlfn.VAR.S(Table12142829[LPG])</f>
        <v>9.629166584117807E-2</v>
      </c>
    </row>
    <row r="29" spans="1:14" ht="15.5" x14ac:dyDescent="0.35">
      <c r="J29" s="47" t="s">
        <v>25</v>
      </c>
      <c r="K29" s="57">
        <f>_xlfn.STDEV.S(Table12142829[Premium])</f>
        <v>0.30756525649527411</v>
      </c>
      <c r="L29" s="57">
        <f>_xlfn.STDEV.S(Table12142829[Biosolar])</f>
        <v>0.32738498311121755</v>
      </c>
      <c r="M29" s="57">
        <f>_xlfn.STDEV.S(Table12142829[Minyak Tanah])</f>
        <v>0.31622776601683794</v>
      </c>
      <c r="N29" s="57">
        <f>_xlfn.STDEV.S(Table12142829[LPG])</f>
        <v>0.31030898446738225</v>
      </c>
    </row>
    <row r="30" spans="1:14" ht="15.5" x14ac:dyDescent="0.35">
      <c r="J30" s="47" t="s">
        <v>24</v>
      </c>
      <c r="K30" s="57">
        <f>K33-K32</f>
        <v>1</v>
      </c>
      <c r="L30" s="57">
        <f t="shared" ref="L30:N30" si="0">L33-L32</f>
        <v>1</v>
      </c>
      <c r="M30" s="57">
        <f t="shared" si="0"/>
        <v>1</v>
      </c>
      <c r="N30" s="57">
        <f t="shared" si="0"/>
        <v>1</v>
      </c>
    </row>
    <row r="31" spans="1:14" ht="15.5" x14ac:dyDescent="0.35">
      <c r="J31" s="47" t="s">
        <v>26</v>
      </c>
      <c r="K31" s="57">
        <f>K23-K22</f>
        <v>0.48928177512489457</v>
      </c>
      <c r="L31" s="57">
        <f t="shared" ref="L31:N31" si="1">L23-L22</f>
        <v>0.59403660355005417</v>
      </c>
      <c r="M31" s="57">
        <f t="shared" si="1"/>
        <v>0</v>
      </c>
      <c r="N31" s="57">
        <f t="shared" si="1"/>
        <v>0.38304277498202732</v>
      </c>
    </row>
    <row r="32" spans="1:14" ht="15.5" x14ac:dyDescent="0.35">
      <c r="J32" s="47" t="s">
        <v>28</v>
      </c>
      <c r="K32" s="58">
        <f>MIN(Table12142829[Premium])</f>
        <v>-0.29175371439693765</v>
      </c>
      <c r="L32" s="58">
        <f>MIN(Table12142829[Biosolar])</f>
        <v>-0.47004514165492167</v>
      </c>
      <c r="M32" s="58">
        <f>MIN(Table12142829[Minyak Tanah])</f>
        <v>0</v>
      </c>
      <c r="N32" s="58">
        <f>MIN(Table12142829[LPG])</f>
        <v>-0.24550682961897916</v>
      </c>
    </row>
    <row r="33" spans="9:14" ht="15.5" x14ac:dyDescent="0.35">
      <c r="J33" s="47" t="s">
        <v>29</v>
      </c>
      <c r="K33" s="58">
        <f>MAX(Table12142829[Premium])</f>
        <v>0.70824628560306235</v>
      </c>
      <c r="L33" s="58">
        <f>MAX(Table12142829[Biosolar])</f>
        <v>0.52995485834507838</v>
      </c>
      <c r="M33" s="58">
        <f>MAX(Table12142829[Minyak Tanah])</f>
        <v>1</v>
      </c>
      <c r="N33" s="58">
        <f>MAX(Table12142829[LPG])</f>
        <v>0.75449317038102082</v>
      </c>
    </row>
    <row r="37" spans="9:14" x14ac:dyDescent="0.35">
      <c r="K37" s="86" t="s">
        <v>36</v>
      </c>
      <c r="L37" s="86"/>
    </row>
    <row r="38" spans="9:14" x14ac:dyDescent="0.35">
      <c r="K38" s="82" t="s">
        <v>33</v>
      </c>
      <c r="L38" s="83"/>
    </row>
    <row r="39" spans="9:14" x14ac:dyDescent="0.35">
      <c r="K39" s="50" t="s">
        <v>43</v>
      </c>
      <c r="L39" s="50" t="s">
        <v>44</v>
      </c>
    </row>
    <row r="40" spans="9:14" x14ac:dyDescent="0.35">
      <c r="K40" s="50" t="s">
        <v>45</v>
      </c>
      <c r="L40" s="50" t="s">
        <v>46</v>
      </c>
    </row>
    <row r="42" spans="9:14" x14ac:dyDescent="0.35">
      <c r="I42" s="84">
        <v>0</v>
      </c>
      <c r="J42" s="72"/>
      <c r="M42" s="77">
        <v>0</v>
      </c>
      <c r="N42" s="77"/>
    </row>
    <row r="43" spans="9:14" x14ac:dyDescent="0.35">
      <c r="I43" s="15">
        <v>-0.09</v>
      </c>
      <c r="J43" s="15">
        <v>0.4</v>
      </c>
      <c r="L43" s="5"/>
      <c r="M43" s="15">
        <v>-0.22</v>
      </c>
      <c r="N43" s="15">
        <v>0.38</v>
      </c>
    </row>
    <row r="44" spans="9:14" x14ac:dyDescent="0.35">
      <c r="I44" s="15">
        <v>-0.28999999999999998</v>
      </c>
      <c r="J44" s="15">
        <v>0.71</v>
      </c>
      <c r="L44" s="5"/>
      <c r="M44" s="15">
        <v>-0.47</v>
      </c>
      <c r="N44" s="15">
        <v>0.53</v>
      </c>
    </row>
    <row r="45" spans="9:14" x14ac:dyDescent="0.35">
      <c r="J45" s="5"/>
      <c r="K45" s="5"/>
      <c r="L45" s="5"/>
      <c r="M45" s="17"/>
      <c r="N45" s="17"/>
    </row>
    <row r="46" spans="9:14" x14ac:dyDescent="0.35">
      <c r="I46" s="84">
        <v>0</v>
      </c>
      <c r="J46" s="72"/>
      <c r="L46" s="5"/>
      <c r="M46" s="81">
        <v>0</v>
      </c>
      <c r="N46" s="81"/>
    </row>
    <row r="47" spans="9:14" x14ac:dyDescent="0.35">
      <c r="I47" s="16">
        <v>0</v>
      </c>
      <c r="J47" s="16">
        <v>0</v>
      </c>
      <c r="L47" s="5"/>
      <c r="M47" s="15">
        <v>-0.04</v>
      </c>
      <c r="N47" s="15">
        <v>0.34</v>
      </c>
    </row>
    <row r="48" spans="9:14" x14ac:dyDescent="0.35">
      <c r="I48" s="16">
        <v>0</v>
      </c>
      <c r="J48" s="16">
        <v>1</v>
      </c>
      <c r="L48" s="5"/>
      <c r="M48" s="15">
        <v>-0.25</v>
      </c>
      <c r="N48" s="15">
        <v>0.75</v>
      </c>
    </row>
  </sheetData>
  <mergeCells count="16">
    <mergeCell ref="A1:I1"/>
    <mergeCell ref="K37:L37"/>
    <mergeCell ref="J26:J27"/>
    <mergeCell ref="K26:N26"/>
    <mergeCell ref="A15:A16"/>
    <mergeCell ref="B15:E15"/>
    <mergeCell ref="A20:A21"/>
    <mergeCell ref="B20:E20"/>
    <mergeCell ref="J15:K15"/>
    <mergeCell ref="J17:J18"/>
    <mergeCell ref="K17:N17"/>
    <mergeCell ref="M42:N42"/>
    <mergeCell ref="M46:N46"/>
    <mergeCell ref="K38:L38"/>
    <mergeCell ref="I42:J42"/>
    <mergeCell ref="I46:J46"/>
  </mergeCells>
  <phoneticPr fontId="14" type="noConversion"/>
  <pageMargins left="0.7" right="0.7" top="0.75" bottom="0.75" header="0.3" footer="0.3"/>
  <pageSetup orientation="portrait" r:id="rId1"/>
  <drawing r:id="rId2"/>
  <tableParts count="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1FBC4-064A-4FE1-B998-8A01BAD953D4}">
  <dimension ref="A1:S29"/>
  <sheetViews>
    <sheetView showGridLines="0" zoomScaleNormal="100" workbookViewId="0">
      <selection activeCell="K2" sqref="K2"/>
    </sheetView>
  </sheetViews>
  <sheetFormatPr defaultRowHeight="14.5" x14ac:dyDescent="0.35"/>
  <sheetData>
    <row r="1" spans="1:16" x14ac:dyDescent="0.35">
      <c r="A1" s="79" t="s">
        <v>47</v>
      </c>
      <c r="B1" s="79"/>
      <c r="C1" s="79"/>
      <c r="D1" s="79"/>
      <c r="E1" s="79"/>
      <c r="L1" s="79" t="s">
        <v>48</v>
      </c>
      <c r="M1" s="79"/>
      <c r="N1" s="79"/>
      <c r="O1" s="79"/>
      <c r="P1" s="79"/>
    </row>
    <row r="25" spans="6:19" x14ac:dyDescent="0.35">
      <c r="K25" s="51" t="s">
        <v>49</v>
      </c>
      <c r="L25" s="51"/>
    </row>
    <row r="26" spans="6:19" x14ac:dyDescent="0.35">
      <c r="F26" s="88" t="s">
        <v>50</v>
      </c>
      <c r="G26" s="88"/>
      <c r="H26" s="88"/>
      <c r="I26" s="88"/>
      <c r="J26" s="88"/>
      <c r="K26" s="88"/>
      <c r="L26" s="88"/>
      <c r="M26" s="88"/>
      <c r="N26" s="88"/>
      <c r="O26" s="88"/>
      <c r="P26" s="88"/>
      <c r="Q26" s="88"/>
      <c r="R26" s="88"/>
      <c r="S26" s="88"/>
    </row>
    <row r="27" spans="6:19" x14ac:dyDescent="0.35">
      <c r="F27" s="88" t="s">
        <v>53</v>
      </c>
      <c r="G27" s="88"/>
      <c r="H27" s="88"/>
      <c r="I27" s="88"/>
      <c r="J27" s="88"/>
      <c r="K27" s="88"/>
      <c r="L27" s="88"/>
      <c r="M27" s="88"/>
      <c r="N27" s="88"/>
      <c r="O27" s="88"/>
      <c r="P27" s="88"/>
      <c r="Q27" s="88"/>
      <c r="R27" s="88"/>
      <c r="S27" s="88"/>
    </row>
    <row r="28" spans="6:19" x14ac:dyDescent="0.35">
      <c r="F28" s="88" t="s">
        <v>51</v>
      </c>
      <c r="G28" s="88"/>
      <c r="H28" s="88"/>
      <c r="I28" s="88"/>
      <c r="J28" s="88"/>
      <c r="K28" s="88"/>
      <c r="L28" s="88"/>
      <c r="M28" s="88"/>
      <c r="N28" s="88"/>
      <c r="O28" s="88"/>
      <c r="P28" s="88"/>
      <c r="Q28" s="88"/>
      <c r="R28" s="88"/>
      <c r="S28" s="88"/>
    </row>
    <row r="29" spans="6:19" x14ac:dyDescent="0.35">
      <c r="F29" s="88" t="s">
        <v>52</v>
      </c>
      <c r="G29" s="88"/>
      <c r="H29" s="88"/>
      <c r="I29" s="88"/>
      <c r="J29" s="88"/>
      <c r="K29" s="88"/>
      <c r="L29" s="88"/>
      <c r="M29" s="88"/>
      <c r="N29" s="88"/>
      <c r="O29" s="88"/>
      <c r="P29" s="88"/>
      <c r="Q29" s="88"/>
      <c r="R29" s="88"/>
      <c r="S29" s="88"/>
    </row>
  </sheetData>
  <mergeCells count="6">
    <mergeCell ref="F29:S29"/>
    <mergeCell ref="A1:E1"/>
    <mergeCell ref="L1:P1"/>
    <mergeCell ref="F26:S26"/>
    <mergeCell ref="F27:S27"/>
    <mergeCell ref="F28:S2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2662C-CE43-40B3-8FFD-34CF8734B13E}">
  <dimension ref="A1:Q22"/>
  <sheetViews>
    <sheetView zoomScaleNormal="100" workbookViewId="0">
      <selection activeCell="L15" sqref="L15"/>
    </sheetView>
  </sheetViews>
  <sheetFormatPr defaultRowHeight="14.5" x14ac:dyDescent="0.35"/>
  <cols>
    <col min="1" max="1" width="15.6328125" customWidth="1"/>
    <col min="2" max="2" width="3.26953125" customWidth="1"/>
    <col min="3" max="3" width="19.08984375" customWidth="1"/>
    <col min="4" max="4" width="11.1796875" customWidth="1"/>
    <col min="5" max="5" width="11.7265625" customWidth="1"/>
    <col min="6" max="6" width="14.54296875" customWidth="1"/>
    <col min="7" max="7" width="10.6328125" customWidth="1"/>
  </cols>
  <sheetData>
    <row r="1" spans="1:17" ht="76" customHeight="1" x14ac:dyDescent="0.35">
      <c r="A1" s="21"/>
      <c r="B1" s="21"/>
      <c r="C1" s="21"/>
      <c r="D1" s="21"/>
      <c r="E1" s="21"/>
      <c r="F1" s="21"/>
      <c r="G1" s="21"/>
      <c r="H1" s="21"/>
      <c r="I1" s="21"/>
      <c r="J1" s="21"/>
      <c r="K1" s="21"/>
      <c r="L1" s="21"/>
      <c r="M1" s="21"/>
      <c r="N1" s="21"/>
      <c r="O1" s="21"/>
      <c r="P1" s="21"/>
      <c r="Q1" s="21"/>
    </row>
    <row r="2" spans="1:17" x14ac:dyDescent="0.35">
      <c r="A2" s="21"/>
      <c r="B2" s="25"/>
      <c r="C2" s="25"/>
      <c r="D2" s="25"/>
      <c r="E2" s="25"/>
      <c r="F2" s="25"/>
      <c r="G2" s="25"/>
      <c r="H2" s="21"/>
      <c r="I2" s="21"/>
      <c r="J2" s="28"/>
      <c r="K2" s="21"/>
      <c r="L2" s="21"/>
      <c r="M2" s="21"/>
      <c r="N2" s="21"/>
      <c r="O2" s="21"/>
      <c r="P2" s="21"/>
      <c r="Q2" s="21"/>
    </row>
    <row r="3" spans="1:17" ht="15.5" x14ac:dyDescent="0.35">
      <c r="A3" s="21"/>
      <c r="B3" s="25"/>
      <c r="C3" s="32" t="s">
        <v>30</v>
      </c>
      <c r="D3" s="33" t="s">
        <v>1</v>
      </c>
      <c r="E3" s="33" t="s">
        <v>2</v>
      </c>
      <c r="F3" s="33" t="s">
        <v>3</v>
      </c>
      <c r="G3" s="33" t="s">
        <v>4</v>
      </c>
      <c r="H3" s="21"/>
      <c r="I3" s="21"/>
      <c r="J3" s="21"/>
      <c r="K3" s="21"/>
      <c r="L3" s="21"/>
      <c r="M3" s="21"/>
      <c r="N3" s="21"/>
      <c r="O3" s="21"/>
      <c r="P3" s="21"/>
      <c r="Q3" s="21"/>
    </row>
    <row r="4" spans="1:17" ht="15.5" x14ac:dyDescent="0.35">
      <c r="A4" s="21"/>
      <c r="B4" s="25"/>
      <c r="C4" s="29" t="s">
        <v>5</v>
      </c>
      <c r="D4" s="30">
        <v>4398</v>
      </c>
      <c r="E4" s="30">
        <v>1096</v>
      </c>
      <c r="F4" s="30">
        <v>0</v>
      </c>
      <c r="G4" s="31">
        <v>1490</v>
      </c>
      <c r="H4" s="21"/>
      <c r="I4" s="21"/>
      <c r="J4" s="21"/>
      <c r="K4" s="21"/>
      <c r="L4" s="21"/>
      <c r="M4" s="21"/>
      <c r="N4" s="21"/>
      <c r="O4" s="21"/>
      <c r="P4" s="21"/>
      <c r="Q4" s="21"/>
    </row>
    <row r="5" spans="1:17" ht="15.5" x14ac:dyDescent="0.35">
      <c r="A5" s="21"/>
      <c r="B5" s="25"/>
      <c r="C5" s="20" t="s">
        <v>6</v>
      </c>
      <c r="D5" s="26">
        <v>36520</v>
      </c>
      <c r="E5" s="26">
        <v>23336</v>
      </c>
      <c r="F5" s="26">
        <v>15</v>
      </c>
      <c r="G5" s="27">
        <v>8585</v>
      </c>
      <c r="H5" s="21"/>
      <c r="I5" s="21"/>
      <c r="J5" s="21"/>
      <c r="K5" s="21"/>
      <c r="L5" s="21"/>
      <c r="M5" s="21"/>
      <c r="N5" s="21"/>
      <c r="O5" s="21"/>
      <c r="P5" s="21"/>
      <c r="Q5" s="21"/>
    </row>
    <row r="6" spans="1:17" ht="15.5" x14ac:dyDescent="0.35">
      <c r="A6" s="21"/>
      <c r="B6" s="25"/>
      <c r="C6" s="29" t="s">
        <v>7</v>
      </c>
      <c r="D6" s="30">
        <v>13966</v>
      </c>
      <c r="E6" s="30">
        <v>13304</v>
      </c>
      <c r="F6" s="30">
        <v>0</v>
      </c>
      <c r="G6" s="31">
        <v>7607</v>
      </c>
      <c r="H6" s="21"/>
      <c r="I6" s="21"/>
      <c r="J6" s="21"/>
      <c r="K6" s="21"/>
      <c r="L6" s="21"/>
      <c r="M6" s="21"/>
      <c r="N6" s="21"/>
      <c r="O6" s="21"/>
      <c r="P6" s="21"/>
      <c r="Q6" s="21"/>
    </row>
    <row r="7" spans="1:17" ht="15.5" x14ac:dyDescent="0.35">
      <c r="A7" s="21"/>
      <c r="B7" s="25"/>
      <c r="C7" s="20" t="s">
        <v>8</v>
      </c>
      <c r="D7" s="26">
        <v>28455</v>
      </c>
      <c r="E7" s="26">
        <v>24880</v>
      </c>
      <c r="F7" s="26">
        <v>0</v>
      </c>
      <c r="G7" s="27">
        <v>7372</v>
      </c>
      <c r="H7" s="21"/>
      <c r="I7" s="21"/>
      <c r="J7" s="21"/>
      <c r="K7" s="21"/>
      <c r="L7" s="21"/>
      <c r="M7" s="21"/>
      <c r="N7" s="21"/>
      <c r="O7" s="21"/>
      <c r="P7" s="21"/>
      <c r="Q7" s="21"/>
    </row>
    <row r="8" spans="1:17" ht="15.5" x14ac:dyDescent="0.35">
      <c r="A8" s="21"/>
      <c r="B8" s="25"/>
      <c r="C8" s="29" t="s">
        <v>58</v>
      </c>
      <c r="D8" s="30">
        <v>25309</v>
      </c>
      <c r="E8" s="30">
        <v>27024</v>
      </c>
      <c r="F8" s="30">
        <v>0</v>
      </c>
      <c r="G8" s="31">
        <v>8341</v>
      </c>
      <c r="H8" s="21"/>
      <c r="I8" s="21"/>
      <c r="J8" s="21"/>
      <c r="K8" s="21"/>
      <c r="L8" s="21"/>
      <c r="M8" s="21"/>
      <c r="N8" s="21"/>
      <c r="O8" s="21"/>
      <c r="P8" s="21"/>
      <c r="Q8" s="21"/>
    </row>
    <row r="9" spans="1:17" ht="15.5" x14ac:dyDescent="0.35">
      <c r="A9" s="21"/>
      <c r="B9" s="25"/>
      <c r="C9" s="20" t="s">
        <v>9</v>
      </c>
      <c r="D9" s="26">
        <v>22174</v>
      </c>
      <c r="E9" s="26">
        <v>20091</v>
      </c>
      <c r="F9" s="26">
        <v>0</v>
      </c>
      <c r="G9" s="27">
        <v>6408</v>
      </c>
      <c r="H9" s="21"/>
      <c r="I9" s="21"/>
      <c r="J9" s="21"/>
      <c r="K9" s="21"/>
      <c r="L9" s="21"/>
      <c r="M9" s="21"/>
      <c r="N9" s="21"/>
      <c r="O9" s="21"/>
      <c r="P9" s="21"/>
      <c r="Q9" s="21"/>
    </row>
    <row r="10" spans="1:17" ht="15.5" x14ac:dyDescent="0.35">
      <c r="A10" s="21"/>
      <c r="B10" s="25"/>
      <c r="C10" s="29" t="s">
        <v>10</v>
      </c>
      <c r="D10" s="30">
        <v>57629</v>
      </c>
      <c r="E10" s="30">
        <v>49452</v>
      </c>
      <c r="F10" s="30">
        <v>0</v>
      </c>
      <c r="G10" s="31">
        <v>15826</v>
      </c>
      <c r="H10" s="21"/>
      <c r="I10" s="21"/>
      <c r="J10" s="21"/>
      <c r="K10" s="21"/>
      <c r="L10" s="21"/>
      <c r="M10" s="21"/>
      <c r="N10" s="21"/>
      <c r="O10" s="21"/>
      <c r="P10" s="21"/>
      <c r="Q10" s="21"/>
    </row>
    <row r="11" spans="1:17" ht="15.5" x14ac:dyDescent="0.35">
      <c r="A11" s="21"/>
      <c r="B11" s="25"/>
      <c r="C11" s="20" t="s">
        <v>11</v>
      </c>
      <c r="D11" s="26">
        <v>81463</v>
      </c>
      <c r="E11" s="26">
        <v>50053</v>
      </c>
      <c r="F11" s="26">
        <v>0</v>
      </c>
      <c r="G11" s="27">
        <v>23671</v>
      </c>
      <c r="H11" s="21"/>
      <c r="I11" s="21"/>
      <c r="J11" s="21"/>
      <c r="K11" s="21"/>
      <c r="L11" s="21"/>
      <c r="M11" s="21"/>
      <c r="N11" s="21"/>
      <c r="O11" s="21"/>
      <c r="P11" s="21"/>
      <c r="Q11" s="21"/>
    </row>
    <row r="12" spans="1:17" ht="15.5" x14ac:dyDescent="0.35">
      <c r="A12" s="21"/>
      <c r="B12" s="25"/>
      <c r="C12" s="29" t="s">
        <v>12</v>
      </c>
      <c r="D12" s="30">
        <v>58427</v>
      </c>
      <c r="E12" s="30">
        <v>40215</v>
      </c>
      <c r="F12" s="30">
        <v>0</v>
      </c>
      <c r="G12" s="31">
        <v>29310</v>
      </c>
      <c r="H12" s="21"/>
      <c r="I12" s="21"/>
      <c r="J12" s="21"/>
      <c r="K12" s="21"/>
      <c r="L12" s="21"/>
      <c r="M12" s="21"/>
      <c r="N12" s="21"/>
      <c r="O12" s="21"/>
      <c r="P12" s="21"/>
      <c r="Q12" s="21"/>
    </row>
    <row r="13" spans="1:17" ht="15.5" x14ac:dyDescent="0.35">
      <c r="A13" s="21"/>
      <c r="B13" s="25"/>
      <c r="C13" s="20" t="s">
        <v>13</v>
      </c>
      <c r="D13" s="26">
        <v>22583</v>
      </c>
      <c r="E13" s="26">
        <v>13488</v>
      </c>
      <c r="F13" s="26">
        <v>0</v>
      </c>
      <c r="G13" s="27">
        <v>8299</v>
      </c>
      <c r="H13" s="21"/>
      <c r="I13" s="21"/>
      <c r="J13" s="21"/>
      <c r="K13" s="21"/>
      <c r="L13" s="21"/>
      <c r="M13" s="21"/>
      <c r="N13" s="21"/>
      <c r="O13" s="21"/>
      <c r="P13" s="21"/>
      <c r="Q13" s="21"/>
    </row>
    <row r="14" spans="1:17" x14ac:dyDescent="0.35">
      <c r="A14" s="21"/>
      <c r="B14" s="25"/>
      <c r="C14" s="25"/>
      <c r="D14" s="25"/>
      <c r="E14" s="25"/>
      <c r="F14" s="25"/>
      <c r="G14" s="25"/>
      <c r="H14" s="21"/>
      <c r="I14" s="21"/>
      <c r="J14" s="21"/>
      <c r="K14" s="21"/>
      <c r="L14" s="21"/>
      <c r="M14" s="21"/>
      <c r="N14" s="21"/>
      <c r="O14" s="21"/>
      <c r="P14" s="21"/>
      <c r="Q14" s="21"/>
    </row>
    <row r="15" spans="1:17" x14ac:dyDescent="0.35">
      <c r="A15" s="21"/>
      <c r="B15" s="21"/>
      <c r="C15" s="21"/>
      <c r="D15" s="21"/>
      <c r="E15" s="21"/>
      <c r="F15" s="21"/>
      <c r="G15" s="21"/>
      <c r="H15" s="21"/>
      <c r="I15" s="21"/>
      <c r="J15" s="21"/>
      <c r="K15" s="21"/>
      <c r="L15" s="21"/>
      <c r="M15" s="21"/>
      <c r="N15" s="21"/>
      <c r="O15" s="21"/>
      <c r="P15" s="21"/>
      <c r="Q15" s="21"/>
    </row>
    <row r="16" spans="1:17" x14ac:dyDescent="0.35">
      <c r="A16" s="21"/>
      <c r="B16" s="21"/>
      <c r="C16" s="21"/>
      <c r="D16" s="21"/>
      <c r="E16" s="21"/>
      <c r="F16" s="21"/>
      <c r="G16" s="21"/>
      <c r="H16" s="21"/>
      <c r="I16" s="21"/>
      <c r="J16" s="21"/>
      <c r="K16" s="21"/>
      <c r="L16" s="21"/>
      <c r="M16" s="21"/>
      <c r="N16" s="21"/>
      <c r="O16" s="21"/>
      <c r="P16" s="21"/>
      <c r="Q16" s="21"/>
    </row>
    <row r="17" spans="1:17" x14ac:dyDescent="0.35">
      <c r="A17" s="21"/>
      <c r="B17" s="21"/>
      <c r="C17" s="21"/>
      <c r="D17" s="21"/>
      <c r="E17" s="21"/>
      <c r="F17" s="21"/>
      <c r="G17" s="21"/>
      <c r="H17" s="21"/>
      <c r="I17" s="21"/>
      <c r="J17" s="21"/>
      <c r="K17" s="21"/>
      <c r="L17" s="21"/>
      <c r="M17" s="21"/>
      <c r="N17" s="21"/>
      <c r="O17" s="21"/>
      <c r="P17" s="21"/>
      <c r="Q17" s="21"/>
    </row>
    <row r="18" spans="1:17" x14ac:dyDescent="0.35">
      <c r="A18" s="21"/>
      <c r="B18" s="21"/>
      <c r="C18" s="21"/>
      <c r="D18" s="21"/>
      <c r="E18" s="21"/>
      <c r="F18" s="21"/>
      <c r="G18" s="21"/>
      <c r="H18" s="21"/>
      <c r="I18" s="21"/>
      <c r="J18" s="21"/>
      <c r="K18" s="21"/>
      <c r="L18" s="21"/>
      <c r="M18" s="21"/>
      <c r="N18" s="21"/>
      <c r="O18" s="21"/>
      <c r="P18" s="21"/>
      <c r="Q18" s="21"/>
    </row>
    <row r="19" spans="1:17" x14ac:dyDescent="0.35">
      <c r="A19" s="21"/>
      <c r="B19" s="21"/>
      <c r="C19" s="21"/>
      <c r="D19" s="21"/>
      <c r="E19" s="21"/>
      <c r="F19" s="21"/>
      <c r="G19" s="21"/>
      <c r="H19" s="21"/>
      <c r="I19" s="21"/>
      <c r="J19" s="21"/>
      <c r="K19" s="21"/>
      <c r="L19" s="21"/>
      <c r="M19" s="21"/>
      <c r="N19" s="21"/>
      <c r="O19" s="21"/>
      <c r="P19" s="21"/>
      <c r="Q19" s="21"/>
    </row>
    <row r="20" spans="1:17" x14ac:dyDescent="0.35">
      <c r="A20" s="21"/>
      <c r="B20" s="21"/>
      <c r="C20" s="21"/>
      <c r="D20" s="21"/>
      <c r="E20" s="21"/>
      <c r="F20" s="21"/>
      <c r="G20" s="21"/>
      <c r="H20" s="21"/>
      <c r="I20" s="21"/>
      <c r="J20" s="21"/>
      <c r="K20" s="21"/>
      <c r="L20" s="21"/>
      <c r="M20" s="21"/>
      <c r="N20" s="21"/>
      <c r="O20" s="21"/>
      <c r="P20" s="21"/>
      <c r="Q20" s="21"/>
    </row>
    <row r="21" spans="1:17" x14ac:dyDescent="0.35">
      <c r="A21" s="21"/>
      <c r="B21" s="21"/>
      <c r="C21" s="21"/>
      <c r="D21" s="21"/>
      <c r="E21" s="21"/>
      <c r="F21" s="21"/>
      <c r="G21" s="21"/>
      <c r="H21" s="21"/>
      <c r="I21" s="21"/>
      <c r="J21" s="21"/>
      <c r="K21" s="21"/>
      <c r="L21" s="21"/>
      <c r="M21" s="21"/>
      <c r="N21" s="21"/>
      <c r="O21" s="21"/>
      <c r="P21" s="21"/>
      <c r="Q21" s="21"/>
    </row>
    <row r="22" spans="1:17" x14ac:dyDescent="0.35">
      <c r="A22" s="21"/>
      <c r="B22" s="21"/>
      <c r="C22" s="21"/>
      <c r="D22" s="21"/>
      <c r="E22" s="21"/>
      <c r="F22" s="21"/>
      <c r="G22" s="21"/>
      <c r="H22" s="21"/>
      <c r="I22" s="21"/>
      <c r="J22" s="21"/>
      <c r="K22" s="21"/>
      <c r="L22" s="21"/>
      <c r="M22" s="21"/>
      <c r="N22" s="21"/>
      <c r="O22" s="21"/>
      <c r="P22" s="21"/>
      <c r="Q22" s="21"/>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01140-E310-4E42-B64B-843D2EF33C6B}">
  <dimension ref="A3:P25"/>
  <sheetViews>
    <sheetView zoomScale="69" zoomScaleNormal="69" workbookViewId="0">
      <selection activeCell="A7" sqref="A7"/>
    </sheetView>
  </sheetViews>
  <sheetFormatPr defaultRowHeight="14.5" x14ac:dyDescent="0.35"/>
  <cols>
    <col min="1" max="1" width="19" bestFit="1" customWidth="1"/>
    <col min="2" max="2" width="6.81640625" bestFit="1" customWidth="1"/>
    <col min="3" max="3" width="19.08984375" bestFit="1" customWidth="1"/>
    <col min="4" max="4" width="12.7265625" bestFit="1" customWidth="1"/>
    <col min="5" max="5" width="13.1796875" bestFit="1" customWidth="1"/>
    <col min="6" max="6" width="15.6328125" bestFit="1" customWidth="1"/>
    <col min="7" max="7" width="4.81640625" bestFit="1" customWidth="1"/>
    <col min="8" max="8" width="10.90625" bestFit="1" customWidth="1"/>
    <col min="9" max="9" width="15.1796875" bestFit="1" customWidth="1"/>
    <col min="10" max="10" width="15" bestFit="1" customWidth="1"/>
    <col min="11" max="11" width="9" customWidth="1"/>
    <col min="12" max="12" width="10.90625" bestFit="1" customWidth="1"/>
    <col min="13" max="13" width="7.7265625" bestFit="1" customWidth="1"/>
    <col min="14" max="14" width="10.90625" bestFit="1" customWidth="1"/>
    <col min="15" max="15" width="6.7265625" bestFit="1" customWidth="1"/>
    <col min="16" max="16" width="10.6328125" bestFit="1" customWidth="1"/>
    <col min="17" max="17" width="7.6328125" bestFit="1" customWidth="1"/>
    <col min="18" max="18" width="6.7265625" bestFit="1" customWidth="1"/>
    <col min="19" max="19" width="10.6328125" bestFit="1" customWidth="1"/>
    <col min="20" max="20" width="7.6328125" bestFit="1" customWidth="1"/>
    <col min="21" max="21" width="7.7265625" bestFit="1" customWidth="1"/>
    <col min="22" max="22" width="10.6328125" bestFit="1" customWidth="1"/>
    <col min="23" max="23" width="7.6328125" bestFit="1" customWidth="1"/>
    <col min="24" max="24" width="6.7265625" bestFit="1" customWidth="1"/>
    <col min="25" max="25" width="10.6328125" bestFit="1" customWidth="1"/>
    <col min="26" max="26" width="7.6328125" bestFit="1" customWidth="1"/>
    <col min="27" max="27" width="6.7265625" bestFit="1" customWidth="1"/>
    <col min="28" max="28" width="10.6328125" bestFit="1" customWidth="1"/>
    <col min="29" max="29" width="7.6328125" bestFit="1" customWidth="1"/>
    <col min="30" max="30" width="6.7265625" bestFit="1" customWidth="1"/>
    <col min="31" max="31" width="10.6328125" bestFit="1" customWidth="1"/>
    <col min="32" max="32" width="10.90625" bestFit="1" customWidth="1"/>
    <col min="33" max="33" width="10.6328125" bestFit="1" customWidth="1"/>
    <col min="34" max="34" width="7.6328125" bestFit="1" customWidth="1"/>
    <col min="35" max="35" width="6.7265625" bestFit="1" customWidth="1"/>
    <col min="36" max="37" width="10.6328125" bestFit="1" customWidth="1"/>
    <col min="38" max="38" width="7.6328125" bestFit="1" customWidth="1"/>
    <col min="39" max="39" width="6.7265625" bestFit="1" customWidth="1"/>
    <col min="40" max="41" width="10.6328125" bestFit="1" customWidth="1"/>
    <col min="42" max="42" width="10.90625" bestFit="1" customWidth="1"/>
  </cols>
  <sheetData>
    <row r="3" spans="1:2" x14ac:dyDescent="0.35">
      <c r="A3" s="12" t="s">
        <v>60</v>
      </c>
    </row>
    <row r="4" spans="1:2" x14ac:dyDescent="0.35">
      <c r="A4" s="6" t="s">
        <v>40</v>
      </c>
      <c r="B4">
        <v>350924</v>
      </c>
    </row>
    <row r="5" spans="1:2" x14ac:dyDescent="0.35">
      <c r="A5" s="6" t="s">
        <v>41</v>
      </c>
      <c r="B5">
        <v>116909</v>
      </c>
    </row>
    <row r="6" spans="1:2" x14ac:dyDescent="0.35">
      <c r="A6" s="6" t="s">
        <v>39</v>
      </c>
      <c r="B6">
        <v>15</v>
      </c>
    </row>
    <row r="7" spans="1:2" x14ac:dyDescent="0.35">
      <c r="A7" s="6" t="s">
        <v>62</v>
      </c>
      <c r="B7">
        <v>262939</v>
      </c>
    </row>
    <row r="22" spans="14:16" x14ac:dyDescent="0.35">
      <c r="N22" t="s">
        <v>1</v>
      </c>
      <c r="P22" s="23">
        <v>350924</v>
      </c>
    </row>
    <row r="23" spans="14:16" x14ac:dyDescent="0.35">
      <c r="N23" t="s">
        <v>2</v>
      </c>
      <c r="P23">
        <v>262939</v>
      </c>
    </row>
    <row r="24" spans="14:16" x14ac:dyDescent="0.35">
      <c r="N24" t="s">
        <v>3</v>
      </c>
      <c r="P24">
        <v>15</v>
      </c>
    </row>
    <row r="25" spans="14:16" x14ac:dyDescent="0.35">
      <c r="N25" t="s">
        <v>4</v>
      </c>
      <c r="P25">
        <v>116909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0EE7C-9507-47E6-8AF3-F3B0C15E4FE6}">
  <dimension ref="A2:J12"/>
  <sheetViews>
    <sheetView workbookViewId="0">
      <selection activeCell="A6" sqref="A6"/>
    </sheetView>
  </sheetViews>
  <sheetFormatPr defaultRowHeight="14.5" x14ac:dyDescent="0.35"/>
  <cols>
    <col min="3" max="3" width="17.1796875" customWidth="1"/>
  </cols>
  <sheetData>
    <row r="2" spans="1:10" x14ac:dyDescent="0.35">
      <c r="A2" t="s">
        <v>30</v>
      </c>
      <c r="C2" t="s">
        <v>55</v>
      </c>
      <c r="H2" t="s">
        <v>0</v>
      </c>
      <c r="J2" t="s">
        <v>59</v>
      </c>
    </row>
    <row r="3" spans="1:10" ht="15.5" x14ac:dyDescent="0.35">
      <c r="A3" s="20" t="s">
        <v>5</v>
      </c>
      <c r="C3" t="s">
        <v>56</v>
      </c>
      <c r="H3" t="s">
        <v>1</v>
      </c>
      <c r="J3" s="23">
        <v>350924</v>
      </c>
    </row>
    <row r="4" spans="1:10" ht="15.5" x14ac:dyDescent="0.35">
      <c r="A4" s="20" t="s">
        <v>6</v>
      </c>
      <c r="C4" t="s">
        <v>2</v>
      </c>
      <c r="H4" t="s">
        <v>2</v>
      </c>
      <c r="J4">
        <v>262939</v>
      </c>
    </row>
    <row r="5" spans="1:10" ht="15.5" x14ac:dyDescent="0.35">
      <c r="A5" s="20" t="s">
        <v>7</v>
      </c>
      <c r="C5" t="s">
        <v>57</v>
      </c>
      <c r="H5" t="s">
        <v>3</v>
      </c>
      <c r="J5">
        <v>15</v>
      </c>
    </row>
    <row r="6" spans="1:10" ht="15.5" x14ac:dyDescent="0.35">
      <c r="A6" s="20" t="s">
        <v>8</v>
      </c>
      <c r="C6" t="s">
        <v>4</v>
      </c>
      <c r="H6" t="s">
        <v>4</v>
      </c>
      <c r="J6">
        <v>116909</v>
      </c>
    </row>
    <row r="7" spans="1:10" ht="15.5" x14ac:dyDescent="0.35">
      <c r="A7" s="20" t="s">
        <v>31</v>
      </c>
    </row>
    <row r="8" spans="1:10" ht="15.5" x14ac:dyDescent="0.35">
      <c r="A8" s="20" t="s">
        <v>9</v>
      </c>
    </row>
    <row r="9" spans="1:10" ht="15.5" x14ac:dyDescent="0.35">
      <c r="A9" s="20" t="s">
        <v>10</v>
      </c>
    </row>
    <row r="10" spans="1:10" ht="15.5" x14ac:dyDescent="0.35">
      <c r="A10" s="20" t="s">
        <v>11</v>
      </c>
    </row>
    <row r="11" spans="1:10" ht="15.5" x14ac:dyDescent="0.35">
      <c r="A11" s="20" t="s">
        <v>12</v>
      </c>
    </row>
    <row r="12" spans="1:10" ht="15.5" x14ac:dyDescent="0.35">
      <c r="A12" s="20" t="s">
        <v>13</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9EE27-FD80-4F57-9940-CA687FC6651D}">
  <dimension ref="A3:P25"/>
  <sheetViews>
    <sheetView zoomScale="69" zoomScaleNormal="69" workbookViewId="0">
      <selection activeCell="E4" sqref="E4"/>
    </sheetView>
  </sheetViews>
  <sheetFormatPr defaultRowHeight="14.5" x14ac:dyDescent="0.35"/>
  <cols>
    <col min="1" max="1" width="16.1796875" bestFit="1" customWidth="1"/>
    <col min="2" max="2" width="14.81640625" bestFit="1" customWidth="1"/>
    <col min="3" max="3" width="10.26953125" bestFit="1" customWidth="1"/>
    <col min="4" max="4" width="19.08984375" bestFit="1" customWidth="1"/>
    <col min="5" max="5" width="13.90625" bestFit="1" customWidth="1"/>
    <col min="6" max="6" width="15.6328125" bestFit="1" customWidth="1"/>
    <col min="7" max="7" width="4.81640625" bestFit="1" customWidth="1"/>
    <col min="8" max="8" width="10.90625" bestFit="1" customWidth="1"/>
    <col min="9" max="9" width="15.1796875" bestFit="1" customWidth="1"/>
    <col min="10" max="10" width="15" bestFit="1" customWidth="1"/>
    <col min="11" max="11" width="9" customWidth="1"/>
    <col min="12" max="12" width="10.90625" bestFit="1" customWidth="1"/>
    <col min="13" max="13" width="7.7265625" bestFit="1" customWidth="1"/>
    <col min="14" max="14" width="10.90625" bestFit="1" customWidth="1"/>
    <col min="15" max="15" width="6.7265625" bestFit="1" customWidth="1"/>
    <col min="16" max="16" width="10.6328125" bestFit="1" customWidth="1"/>
    <col min="17" max="17" width="7.6328125" bestFit="1" customWidth="1"/>
    <col min="18" max="18" width="6.7265625" bestFit="1" customWidth="1"/>
    <col min="19" max="19" width="10.6328125" bestFit="1" customWidth="1"/>
    <col min="20" max="20" width="7.6328125" bestFit="1" customWidth="1"/>
    <col min="21" max="21" width="7.7265625" bestFit="1" customWidth="1"/>
    <col min="22" max="22" width="10.6328125" bestFit="1" customWidth="1"/>
    <col min="23" max="23" width="7.6328125" bestFit="1" customWidth="1"/>
    <col min="24" max="24" width="6.7265625" bestFit="1" customWidth="1"/>
    <col min="25" max="25" width="10.6328125" bestFit="1" customWidth="1"/>
    <col min="26" max="26" width="7.6328125" bestFit="1" customWidth="1"/>
    <col min="27" max="27" width="6.7265625" bestFit="1" customWidth="1"/>
    <col min="28" max="28" width="10.6328125" bestFit="1" customWidth="1"/>
    <col min="29" max="29" width="7.6328125" bestFit="1" customWidth="1"/>
    <col min="30" max="30" width="6.7265625" bestFit="1" customWidth="1"/>
    <col min="31" max="31" width="10.6328125" bestFit="1" customWidth="1"/>
    <col min="32" max="32" width="10.90625" bestFit="1" customWidth="1"/>
    <col min="33" max="33" width="10.6328125" bestFit="1" customWidth="1"/>
    <col min="34" max="34" width="7.6328125" bestFit="1" customWidth="1"/>
    <col min="35" max="35" width="6.7265625" bestFit="1" customWidth="1"/>
    <col min="36" max="37" width="10.6328125" bestFit="1" customWidth="1"/>
    <col min="38" max="38" width="7.6328125" bestFit="1" customWidth="1"/>
    <col min="39" max="39" width="6.7265625" bestFit="1" customWidth="1"/>
    <col min="40" max="41" width="10.6328125" bestFit="1" customWidth="1"/>
    <col min="42" max="42" width="10.90625" bestFit="1" customWidth="1"/>
  </cols>
  <sheetData>
    <row r="3" spans="1:5" x14ac:dyDescent="0.35">
      <c r="A3" s="12" t="s">
        <v>38</v>
      </c>
      <c r="B3" t="s">
        <v>40</v>
      </c>
      <c r="C3" t="s">
        <v>41</v>
      </c>
      <c r="D3" t="s">
        <v>39</v>
      </c>
      <c r="E3" t="s">
        <v>62</v>
      </c>
    </row>
    <row r="4" spans="1:5" x14ac:dyDescent="0.35">
      <c r="A4" s="62" t="s">
        <v>31</v>
      </c>
      <c r="B4">
        <v>25309</v>
      </c>
      <c r="C4">
        <v>8341</v>
      </c>
      <c r="D4">
        <v>0</v>
      </c>
      <c r="E4">
        <v>27024</v>
      </c>
    </row>
    <row r="5" spans="1:5" x14ac:dyDescent="0.35">
      <c r="A5" s="62" t="s">
        <v>11</v>
      </c>
      <c r="B5">
        <v>81463</v>
      </c>
      <c r="C5">
        <v>23671</v>
      </c>
      <c r="D5">
        <v>0</v>
      </c>
      <c r="E5">
        <v>50053</v>
      </c>
    </row>
    <row r="6" spans="1:5" x14ac:dyDescent="0.35">
      <c r="A6" s="62" t="s">
        <v>13</v>
      </c>
      <c r="B6">
        <v>22583</v>
      </c>
      <c r="C6">
        <v>8299</v>
      </c>
      <c r="D6">
        <v>0</v>
      </c>
      <c r="E6">
        <v>13488</v>
      </c>
    </row>
    <row r="7" spans="1:5" x14ac:dyDescent="0.35">
      <c r="A7" s="62" t="s">
        <v>10</v>
      </c>
      <c r="B7">
        <v>57629</v>
      </c>
      <c r="C7">
        <v>15826</v>
      </c>
      <c r="D7">
        <v>0</v>
      </c>
      <c r="E7">
        <v>49452</v>
      </c>
    </row>
    <row r="8" spans="1:5" x14ac:dyDescent="0.35">
      <c r="A8" s="62" t="s">
        <v>6</v>
      </c>
      <c r="B8">
        <v>36520</v>
      </c>
      <c r="C8">
        <v>8585</v>
      </c>
      <c r="D8">
        <v>15</v>
      </c>
      <c r="E8">
        <v>23336</v>
      </c>
    </row>
    <row r="9" spans="1:5" x14ac:dyDescent="0.35">
      <c r="A9" s="62" t="s">
        <v>5</v>
      </c>
      <c r="B9">
        <v>4398</v>
      </c>
      <c r="C9">
        <v>1490</v>
      </c>
      <c r="D9">
        <v>0</v>
      </c>
      <c r="E9">
        <v>1096</v>
      </c>
    </row>
    <row r="10" spans="1:5" x14ac:dyDescent="0.35">
      <c r="A10" s="62" t="s">
        <v>12</v>
      </c>
      <c r="B10">
        <v>58427</v>
      </c>
      <c r="C10">
        <v>29310</v>
      </c>
      <c r="D10">
        <v>0</v>
      </c>
      <c r="E10">
        <v>40215</v>
      </c>
    </row>
    <row r="11" spans="1:5" x14ac:dyDescent="0.35">
      <c r="A11" s="62" t="s">
        <v>7</v>
      </c>
      <c r="B11">
        <v>13966</v>
      </c>
      <c r="C11">
        <v>7607</v>
      </c>
      <c r="D11">
        <v>0</v>
      </c>
      <c r="E11">
        <v>13304</v>
      </c>
    </row>
    <row r="12" spans="1:5" x14ac:dyDescent="0.35">
      <c r="A12" s="62" t="s">
        <v>8</v>
      </c>
      <c r="B12">
        <v>28455</v>
      </c>
      <c r="C12">
        <v>7372</v>
      </c>
      <c r="D12">
        <v>0</v>
      </c>
      <c r="E12">
        <v>24880</v>
      </c>
    </row>
    <row r="13" spans="1:5" x14ac:dyDescent="0.35">
      <c r="A13" s="62" t="s">
        <v>9</v>
      </c>
      <c r="B13">
        <v>22174</v>
      </c>
      <c r="C13">
        <v>6408</v>
      </c>
      <c r="D13">
        <v>0</v>
      </c>
      <c r="E13">
        <v>20091</v>
      </c>
    </row>
    <row r="14" spans="1:5" x14ac:dyDescent="0.35">
      <c r="A14" s="6" t="s">
        <v>37</v>
      </c>
      <c r="B14">
        <v>350924</v>
      </c>
      <c r="C14">
        <v>116909</v>
      </c>
      <c r="D14">
        <v>15</v>
      </c>
      <c r="E14">
        <v>262939</v>
      </c>
    </row>
    <row r="19" spans="8:16" x14ac:dyDescent="0.35">
      <c r="H19" s="5" t="s">
        <v>1</v>
      </c>
      <c r="I19" s="5" t="s">
        <v>2</v>
      </c>
      <c r="J19" s="5" t="s">
        <v>3</v>
      </c>
      <c r="K19" s="5" t="s">
        <v>4</v>
      </c>
    </row>
    <row r="20" spans="8:16" x14ac:dyDescent="0.35">
      <c r="H20" s="34">
        <v>350934</v>
      </c>
      <c r="I20" s="34">
        <v>262939</v>
      </c>
      <c r="J20" s="5">
        <v>15</v>
      </c>
      <c r="K20" s="34">
        <v>116909</v>
      </c>
    </row>
    <row r="22" spans="8:16" x14ac:dyDescent="0.35">
      <c r="N22" t="s">
        <v>1</v>
      </c>
      <c r="P22" s="23">
        <v>350924</v>
      </c>
    </row>
    <row r="23" spans="8:16" x14ac:dyDescent="0.35">
      <c r="N23" t="s">
        <v>2</v>
      </c>
      <c r="P23">
        <v>262939</v>
      </c>
    </row>
    <row r="24" spans="8:16" x14ac:dyDescent="0.35">
      <c r="N24" t="s">
        <v>3</v>
      </c>
      <c r="P24">
        <v>15</v>
      </c>
    </row>
    <row r="25" spans="8:16" x14ac:dyDescent="0.35">
      <c r="N25" t="s">
        <v>4</v>
      </c>
      <c r="P25">
        <v>116909</v>
      </c>
    </row>
  </sheetData>
  <pageMargins left="0.7" right="0.7" top="0.75" bottom="0.75" header="0.3" footer="0.3"/>
  <pageSetup orientation="portrait" r:id="rId2"/>
  <drawing r:id="rId3"/>
  <tableParts count="1">
    <tablePart r:id="rId4"/>
  </tableParts>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DASHBOARD</vt:lpstr>
      <vt:lpstr>Ringkasan Numerik</vt:lpstr>
      <vt:lpstr>STANDARISASI</vt:lpstr>
      <vt:lpstr>COMPARE</vt:lpstr>
      <vt:lpstr>INPUT </vt:lpstr>
      <vt:lpstr>pie</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Ivonny Asya TF</cp:lastModifiedBy>
  <dcterms:created xsi:type="dcterms:W3CDTF">2023-04-06T16:12:09Z</dcterms:created>
  <dcterms:modified xsi:type="dcterms:W3CDTF">2026-06-12T14:14:52Z</dcterms:modified>
</cp:coreProperties>
</file>